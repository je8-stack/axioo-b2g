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ETTA\Desktop\axioo-b2g-portal\"/>
    </mc:Choice>
  </mc:AlternateContent>
  <xr:revisionPtr revIDLastSave="0" documentId="13_ncr:1_{6B6A499B-A11C-41BD-9A6A-C1FE34CF1F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tebook &amp; AIO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13" l="1"/>
  <c r="K67" i="13"/>
  <c r="L22" i="13" l="1"/>
  <c r="K22" i="13"/>
  <c r="K6" i="13" l="1"/>
  <c r="L6" i="13"/>
  <c r="K17" i="13"/>
  <c r="L17" i="13"/>
</calcChain>
</file>

<file path=xl/sharedStrings.xml><?xml version="1.0" encoding="utf-8"?>
<sst xmlns="http://schemas.openxmlformats.org/spreadsheetml/2006/main" count="855" uniqueCount="183">
  <si>
    <t>Last Update</t>
  </si>
  <si>
    <t>Product Name</t>
  </si>
  <si>
    <t>TKDN + BMP</t>
  </si>
  <si>
    <t>Processor</t>
  </si>
  <si>
    <t>RAM</t>
  </si>
  <si>
    <t>Storage</t>
  </si>
  <si>
    <t>Ukuran Layar</t>
  </si>
  <si>
    <t>VGA</t>
  </si>
  <si>
    <t>Sistem Operasi</t>
  </si>
  <si>
    <t>Garansi</t>
  </si>
  <si>
    <t>DEALER</t>
  </si>
  <si>
    <t>SRP</t>
  </si>
  <si>
    <t>Notebook</t>
  </si>
  <si>
    <t>MyBook Pro E1 (8N2)</t>
  </si>
  <si>
    <t>48.68%</t>
  </si>
  <si>
    <t>N4500</t>
  </si>
  <si>
    <t>8GB</t>
  </si>
  <si>
    <t>256 GB SSD</t>
  </si>
  <si>
    <t>14"</t>
  </si>
  <si>
    <t>Integrated</t>
  </si>
  <si>
    <t>Win 11</t>
  </si>
  <si>
    <t>1 Tahun</t>
  </si>
  <si>
    <t>MyBook Pro E1 (8N5)</t>
  </si>
  <si>
    <t>512 GB SSD</t>
  </si>
  <si>
    <t>MyBook Pro E1 (8N9)</t>
  </si>
  <si>
    <t>1 TB SSD</t>
  </si>
  <si>
    <t>MyBook Pro D1 (6S2)</t>
  </si>
  <si>
    <t>N4020</t>
  </si>
  <si>
    <t>6GB</t>
  </si>
  <si>
    <t>256GB SSD</t>
  </si>
  <si>
    <t>Win 10</t>
  </si>
  <si>
    <t>MyBook Pro H7 (8S2)</t>
  </si>
  <si>
    <t>i5-8257u</t>
  </si>
  <si>
    <t xml:space="preserve">1 Tahun </t>
  </si>
  <si>
    <t>MyBook Pro H7 (8S5)</t>
  </si>
  <si>
    <t>MyBook Pro H7 (8S9)</t>
  </si>
  <si>
    <t>MyBook Pro H8 (8S5)</t>
  </si>
  <si>
    <t>45.06%</t>
  </si>
  <si>
    <t>i7-8557u</t>
  </si>
  <si>
    <t>MyBook Pro H8 (8S9)</t>
  </si>
  <si>
    <t>MyBook Pro H8 (16S9)</t>
  </si>
  <si>
    <t>16GB</t>
  </si>
  <si>
    <t>MyBook Pro 103.2 (4S1)</t>
  </si>
  <si>
    <t>i3-10110U</t>
  </si>
  <si>
    <t>4GB</t>
  </si>
  <si>
    <t>128 GB SSD</t>
  </si>
  <si>
    <t>MyBook Pro 103.2 (4S2)</t>
  </si>
  <si>
    <t>MyBook Pro 103.2 (8S2)</t>
  </si>
  <si>
    <t>MyBook Pro 103.2 (8S5)</t>
  </si>
  <si>
    <t>MyBook Pro K3 (8N2)</t>
  </si>
  <si>
    <t>i3-1115G4</t>
  </si>
  <si>
    <t>256 GB NVME</t>
  </si>
  <si>
    <t xml:space="preserve">Win 10 </t>
  </si>
  <si>
    <t>MyBook Pro L3 (8N2)</t>
  </si>
  <si>
    <t>i3-1215U</t>
  </si>
  <si>
    <t>MyBook Pro L3 (8N5)</t>
  </si>
  <si>
    <t>MyBook Pro L3 (8N9)</t>
  </si>
  <si>
    <t>MyBook Pro L5 (KB2)</t>
  </si>
  <si>
    <t>i5-1235U</t>
  </si>
  <si>
    <t>MyBook Pro L5 (8N5)</t>
  </si>
  <si>
    <t>MyBook Pro M5 (8N2)</t>
  </si>
  <si>
    <t>i5-1334U</t>
  </si>
  <si>
    <t>MyBook Pro M5 (8N5)</t>
  </si>
  <si>
    <t>MyBook Pro M5 (16N9)</t>
  </si>
  <si>
    <t>i7-1065G7</t>
  </si>
  <si>
    <t>MyBook Pro 107 (8S9)</t>
  </si>
  <si>
    <t>MyBook Pro 107 (16S5)</t>
  </si>
  <si>
    <t>MyBook Pro 107 (16S9)</t>
  </si>
  <si>
    <t>2 TB SSD</t>
  </si>
  <si>
    <t>MyBook Pro K7 (8N5)</t>
  </si>
  <si>
    <t>i7-1165G7</t>
  </si>
  <si>
    <t>MyBook Pro K7.2 (8N5)</t>
  </si>
  <si>
    <t>i7-1195G7</t>
  </si>
  <si>
    <t>MyBook Pro K7.2 (8N9)</t>
  </si>
  <si>
    <t>MyBook Pro K7.2 (16N5)</t>
  </si>
  <si>
    <t>512 GB SD</t>
  </si>
  <si>
    <t>MyBook Pro K7.2 (16N9)</t>
  </si>
  <si>
    <t>MyBook Pro K7.2 (16N18)</t>
  </si>
  <si>
    <t>MyBook Pro L7 (8N5)</t>
  </si>
  <si>
    <t>i7-1255U</t>
  </si>
  <si>
    <t>MyBook Pro L7 (8N9)</t>
  </si>
  <si>
    <t>MyBook Pro L7 (16N9)</t>
  </si>
  <si>
    <t>MyBook Pro L7 (16N18)</t>
  </si>
  <si>
    <t>MyBook Pro A5 (8N9)</t>
  </si>
  <si>
    <t>42.81%</t>
  </si>
  <si>
    <t>Ultra 5-125H</t>
  </si>
  <si>
    <t>1TB SSD</t>
  </si>
  <si>
    <t>MyBook Pro A5 (16N9)</t>
  </si>
  <si>
    <t>42.80%</t>
  </si>
  <si>
    <t>MyBook Pro A7 (8N9)</t>
  </si>
  <si>
    <t>42.86%</t>
  </si>
  <si>
    <t>Ultra 7-155H</t>
  </si>
  <si>
    <t>MyBook Pro A7 (16N9)</t>
  </si>
  <si>
    <t>MyBook Pro A7V (8N9)</t>
  </si>
  <si>
    <t>Ultra 7 155H</t>
  </si>
  <si>
    <t>6GB VGA</t>
  </si>
  <si>
    <t>MyBook Pro A7V (16N9)</t>
  </si>
  <si>
    <t>MyBook Pro A7Z (16N9)</t>
  </si>
  <si>
    <t>Ultra 7-155u</t>
  </si>
  <si>
    <t>MyBook Pro K5V (8N5)</t>
  </si>
  <si>
    <t>i5-1135G7</t>
  </si>
  <si>
    <t>NVIDIA 3050 4GB</t>
  </si>
  <si>
    <t>MyBook Pro K5V (16N9)</t>
  </si>
  <si>
    <t>MyBook Pro K5V (32N9)</t>
  </si>
  <si>
    <t>44,97%</t>
  </si>
  <si>
    <t>32GB</t>
  </si>
  <si>
    <t>MyBook Pro K7V (16N9)</t>
  </si>
  <si>
    <t>MyBook Pro L7V (8N5)</t>
  </si>
  <si>
    <t>i7-1260P</t>
  </si>
  <si>
    <t>MyBook Pro L7V (16N9)</t>
  </si>
  <si>
    <t>MyBook Pro L7V (32N9)</t>
  </si>
  <si>
    <t>44,81%</t>
  </si>
  <si>
    <t>MyBook Pro M7T (16N9)</t>
  </si>
  <si>
    <t>i7-1355U</t>
  </si>
  <si>
    <t>14" Touch Screen</t>
  </si>
  <si>
    <t>MyBook Pro M7T (32N9)</t>
  </si>
  <si>
    <t>MyBook Prime 5 (KA1)</t>
  </si>
  <si>
    <t>43.49%</t>
  </si>
  <si>
    <t>Ryzen 5 - 7540</t>
  </si>
  <si>
    <t>256GB NVME</t>
  </si>
  <si>
    <t>1 tahun</t>
  </si>
  <si>
    <t>MyBook Prime 5 (KB1)</t>
  </si>
  <si>
    <t>Ryzen 5 - 7430U</t>
  </si>
  <si>
    <t>MyBook Prime 5A (16N5)</t>
  </si>
  <si>
    <t>512GB NVME</t>
  </si>
  <si>
    <t>MyBook Prime 5A (16N9)</t>
  </si>
  <si>
    <t>1TB NVME</t>
  </si>
  <si>
    <t>MyBook Prime 5B (8N5)</t>
  </si>
  <si>
    <t>MyBook Prime 5B (8N9)</t>
  </si>
  <si>
    <t>MyBook Prime 5B (16N5)</t>
  </si>
  <si>
    <t>MyBook Prime 5B (16N9)</t>
  </si>
  <si>
    <t>MyPC One Pro H8 (16S9)</t>
  </si>
  <si>
    <t>41,08%</t>
  </si>
  <si>
    <t>i7-8750H</t>
  </si>
  <si>
    <t>21.5"</t>
  </si>
  <si>
    <t>MyPC One Pro L1 (8S2)</t>
  </si>
  <si>
    <t>42.27%</t>
  </si>
  <si>
    <t>N100</t>
  </si>
  <si>
    <t>MyPC One Pro L1 (8S5)</t>
  </si>
  <si>
    <t>42.14%</t>
  </si>
  <si>
    <t>MyPC One Pro L1 (8S9)</t>
  </si>
  <si>
    <t>41.75%</t>
  </si>
  <si>
    <t>MyPC One Pro K3 (8N2)</t>
  </si>
  <si>
    <t>PDN</t>
  </si>
  <si>
    <t>MyPC One Pro K3 (16N5)</t>
  </si>
  <si>
    <t>512 GB NVME</t>
  </si>
  <si>
    <t>MyPC One Pro L3-24 (16N5)</t>
  </si>
  <si>
    <t>23.8"</t>
  </si>
  <si>
    <t>MyPC One Pro L3.2-24 (8N2)</t>
  </si>
  <si>
    <t>i3-1220P</t>
  </si>
  <si>
    <t>MyPC One Pro L3.2-24 (8N5)</t>
  </si>
  <si>
    <t>MyPC One Pro L3.2-24 (16N5)</t>
  </si>
  <si>
    <t>MyPC One Pro L3.2-24 (16N9)</t>
  </si>
  <si>
    <t>i5-13420H</t>
  </si>
  <si>
    <t>MyPC One Pro M5-24 (8N5)</t>
  </si>
  <si>
    <t>MyPC One Pro M5-24 (16N5)</t>
  </si>
  <si>
    <t>MyPC One Pro M5-24 (16N9)</t>
  </si>
  <si>
    <t>MyPC One Pro K7-24 (8N2)</t>
  </si>
  <si>
    <t>MyPC One Pro K7-24 (8N5)</t>
  </si>
  <si>
    <t>MyPC One Pro K7-24 (16N5)</t>
  </si>
  <si>
    <t>MyPC One Pro K7-24 (16N9)</t>
  </si>
  <si>
    <t>MyPC One Pro M7-24 (8N5)</t>
  </si>
  <si>
    <t>i7-13620H</t>
  </si>
  <si>
    <t>MyPC One Pro M7-24 (8N9)</t>
  </si>
  <si>
    <t>MyPC One Pro M7.2-24 (8N5)</t>
  </si>
  <si>
    <t>i7-13650HX</t>
  </si>
  <si>
    <t>MyPC One Pro M7.2-24 (8N9)</t>
  </si>
  <si>
    <t>MyPC One Pro M7.2-24 (16N9)</t>
  </si>
  <si>
    <t xml:space="preserve">MyPC One Pro L7V4-24 (16N9) - with  VGA NVIDIA GTX1650 4GB </t>
  </si>
  <si>
    <t>i7-12700F</t>
  </si>
  <si>
    <t>GTX1650 4GB</t>
  </si>
  <si>
    <t xml:space="preserve">MyPC One Pro L7V6-24 (16N9) - with  VGA NVIDIA RTX3050 6GB </t>
  </si>
  <si>
    <t>RTX 3050 6GB</t>
  </si>
  <si>
    <t xml:space="preserve">MyPC One Pro L7V6-24 (32N9) - with  VGA NVIDIA RTX3050 6GB </t>
  </si>
  <si>
    <t>43.18%</t>
  </si>
  <si>
    <t>MyPC One Pro L7Z (16N9)</t>
  </si>
  <si>
    <t>27" (4K)</t>
  </si>
  <si>
    <t>MyPC One Pro L7Z (32N9)</t>
  </si>
  <si>
    <t>23.8" Touch</t>
  </si>
  <si>
    <t>MyPC One Pro M7T-24 (16N5)</t>
  </si>
  <si>
    <t>MyPC One Pro M7T-24 (16N9)</t>
  </si>
  <si>
    <t>Type</t>
  </si>
  <si>
    <t>All in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</si>
</sst>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5" formatCode="_-* #,##0.00_-;\-* #,##0.00_-;_-* &quot;-&quot;??_-;_-@_-"/>
    <numFmt numFmtId="166" formatCode="@\ * &quot;:&quot;"/>
    <numFmt numFmtId="167" formatCode="_-[$Rp-3809]* #,##0_-;\-[$Rp-3809]* #,##0_-;_-[$Rp-3809]* &quot;-&quot;??_-;_-@_-"/>
    <numFmt numFmtId="169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theme="1"/>
      <name val="Calibri"/>
      <family val="2"/>
    </font>
    <font>
      <b/>
      <sz val="8"/>
      <color rgb="FF0070C0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i/>
      <sz val="8"/>
      <color theme="1"/>
      <name val="Calibri"/>
      <family val="2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b/>
      <i/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theme="7"/>
      </patternFill>
    </fill>
    <fill>
      <patternFill patternType="solid">
        <fgColor theme="7"/>
        <bgColor theme="7"/>
      </patternFill>
    </fill>
    <fill>
      <patternFill patternType="solid">
        <fgColor theme="8" tint="0.79998168889431442"/>
        <bgColor theme="7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166" fontId="7" fillId="0" borderId="0" xfId="0" applyNumberFormat="1" applyFont="1" applyAlignment="1">
      <alignment vertical="center"/>
    </xf>
    <xf numFmtId="1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7" fontId="9" fillId="0" borderId="0" xfId="0" applyNumberFormat="1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0" fontId="9" fillId="0" borderId="0" xfId="0" applyFont="1" applyAlignment="1" applyProtection="1">
      <alignment vertical="center"/>
      <protection locked="0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7" fontId="7" fillId="4" borderId="2" xfId="0" applyNumberFormat="1" applyFont="1" applyFill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10" fontId="10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>
      <alignment horizontal="center" vertical="center"/>
    </xf>
    <xf numFmtId="10" fontId="10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10" fontId="10" fillId="0" borderId="8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0" fontId="13" fillId="0" borderId="1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69" fontId="10" fillId="0" borderId="3" xfId="1" applyNumberFormat="1" applyFont="1" applyFill="1" applyBorder="1" applyAlignment="1" applyProtection="1">
      <alignment horizontal="center" vertical="center" wrapText="1"/>
      <protection locked="0"/>
    </xf>
    <xf numFmtId="10" fontId="10" fillId="0" borderId="7" xfId="1" applyNumberFormat="1" applyFont="1" applyFill="1" applyBorder="1" applyAlignment="1" applyProtection="1">
      <alignment horizontal="center" vertical="center" wrapText="1"/>
      <protection locked="0"/>
    </xf>
    <xf numFmtId="167" fontId="15" fillId="0" borderId="0" xfId="0" applyNumberFormat="1" applyFont="1" applyAlignment="1">
      <alignment horizontal="left" vertical="center"/>
    </xf>
    <xf numFmtId="9" fontId="9" fillId="0" borderId="0" xfId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7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167" fontId="10" fillId="0" borderId="0" xfId="0" applyNumberFormat="1" applyFont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9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167" fontId="11" fillId="2" borderId="18" xfId="0" applyNumberFormat="1" applyFont="1" applyFill="1" applyBorder="1" applyAlignment="1">
      <alignment horizontal="center" vertical="center"/>
    </xf>
    <xf numFmtId="0" fontId="10" fillId="0" borderId="19" xfId="0" applyFont="1" applyBorder="1" applyAlignment="1" applyProtection="1">
      <alignment horizontal="left" vertical="center" wrapText="1"/>
      <protection locked="0"/>
    </xf>
    <xf numFmtId="0" fontId="10" fillId="0" borderId="22" xfId="0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left" vertical="center" wrapText="1"/>
      <protection locked="0"/>
    </xf>
    <xf numFmtId="0" fontId="10" fillId="0" borderId="25" xfId="0" applyFont="1" applyBorder="1" applyAlignment="1" applyProtection="1">
      <alignment horizontal="left" vertical="center" wrapText="1"/>
      <protection locked="0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4" fillId="0" borderId="19" xfId="0" applyFont="1" applyBorder="1" applyAlignment="1" applyProtection="1">
      <alignment horizontal="left" vertical="center"/>
      <protection locked="0"/>
    </xf>
    <xf numFmtId="0" fontId="14" fillId="0" borderId="25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 wrapText="1"/>
      <protection locked="0"/>
    </xf>
    <xf numFmtId="0" fontId="10" fillId="0" borderId="30" xfId="0" applyFont="1" applyBorder="1" applyAlignment="1" applyProtection="1">
      <alignment horizontal="left" vertical="center" wrapText="1"/>
      <protection locked="0"/>
    </xf>
    <xf numFmtId="0" fontId="10" fillId="0" borderId="31" xfId="0" applyFont="1" applyBorder="1" applyAlignment="1" applyProtection="1">
      <alignment horizontal="left" vertical="center" wrapText="1"/>
      <protection locked="0"/>
    </xf>
    <xf numFmtId="0" fontId="10" fillId="0" borderId="25" xfId="0" applyFont="1" applyBorder="1" applyAlignment="1" applyProtection="1">
      <alignment horizontal="left" vertical="center"/>
      <protection locked="0"/>
    </xf>
    <xf numFmtId="0" fontId="9" fillId="0" borderId="32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0" fillId="0" borderId="19" xfId="0" applyFont="1" applyBorder="1" applyAlignment="1" applyProtection="1">
      <alignment horizontal="left" vertical="center"/>
      <protection locked="0"/>
    </xf>
    <xf numFmtId="0" fontId="10" fillId="0" borderId="34" xfId="0" applyFont="1" applyBorder="1" applyAlignment="1" applyProtection="1">
      <alignment horizontal="left" vertical="center" wrapText="1"/>
      <protection locked="0"/>
    </xf>
    <xf numFmtId="0" fontId="10" fillId="0" borderId="35" xfId="0" applyFont="1" applyBorder="1" applyAlignment="1" applyProtection="1">
      <alignment horizontal="left" vertical="center" wrapText="1"/>
      <protection locked="0"/>
    </xf>
    <xf numFmtId="10" fontId="10" fillId="0" borderId="36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36" xfId="0" applyFont="1" applyBorder="1" applyAlignment="1">
      <alignment horizontal="center" vertical="center"/>
    </xf>
    <xf numFmtId="167" fontId="10" fillId="0" borderId="6" xfId="14" applyNumberFormat="1" applyFont="1" applyBorder="1" applyAlignment="1" applyProtection="1">
      <alignment vertical="center"/>
      <protection locked="0"/>
    </xf>
    <xf numFmtId="167" fontId="10" fillId="0" borderId="20" xfId="14" applyNumberFormat="1" applyFont="1" applyBorder="1" applyAlignment="1">
      <alignment vertical="center"/>
    </xf>
    <xf numFmtId="167" fontId="10" fillId="0" borderId="13" xfId="14" applyNumberFormat="1" applyFont="1" applyBorder="1" applyAlignment="1" applyProtection="1">
      <alignment vertical="center"/>
      <protection locked="0"/>
    </xf>
    <xf numFmtId="167" fontId="10" fillId="0" borderId="21" xfId="14" applyNumberFormat="1" applyFont="1" applyBorder="1" applyAlignment="1">
      <alignment vertical="center"/>
    </xf>
    <xf numFmtId="167" fontId="10" fillId="0" borderId="3" xfId="14" applyNumberFormat="1" applyFont="1" applyBorder="1" applyAlignment="1" applyProtection="1">
      <alignment vertical="center"/>
      <protection locked="0"/>
    </xf>
    <xf numFmtId="167" fontId="10" fillId="0" borderId="24" xfId="14" applyNumberFormat="1" applyFont="1" applyBorder="1" applyAlignment="1">
      <alignment vertical="center"/>
    </xf>
    <xf numFmtId="167" fontId="10" fillId="0" borderId="26" xfId="14" applyNumberFormat="1" applyFont="1" applyBorder="1" applyAlignment="1">
      <alignment vertical="center"/>
    </xf>
    <xf numFmtId="167" fontId="10" fillId="0" borderId="27" xfId="14" applyNumberFormat="1" applyFont="1" applyBorder="1" applyAlignment="1">
      <alignment vertical="center"/>
    </xf>
    <xf numFmtId="167" fontId="10" fillId="0" borderId="4" xfId="14" applyNumberFormat="1" applyFont="1" applyBorder="1" applyAlignment="1" applyProtection="1">
      <alignment vertical="center"/>
      <protection locked="0"/>
    </xf>
    <xf numFmtId="167" fontId="10" fillId="0" borderId="0" xfId="14" applyNumberFormat="1" applyFont="1" applyBorder="1" applyAlignment="1" applyProtection="1">
      <alignment vertical="center"/>
      <protection locked="0"/>
    </xf>
    <xf numFmtId="167" fontId="10" fillId="0" borderId="16" xfId="14" applyNumberFormat="1" applyFont="1" applyBorder="1" applyAlignment="1" applyProtection="1">
      <alignment vertical="center"/>
      <protection locked="0"/>
    </xf>
    <xf numFmtId="167" fontId="10" fillId="0" borderId="28" xfId="14" applyNumberFormat="1" applyFont="1" applyBorder="1" applyAlignment="1">
      <alignment vertical="center"/>
    </xf>
    <xf numFmtId="167" fontId="10" fillId="0" borderId="5" xfId="14" applyNumberFormat="1" applyFont="1" applyBorder="1" applyAlignment="1" applyProtection="1">
      <alignment vertical="center"/>
      <protection locked="0"/>
    </xf>
    <xf numFmtId="167" fontId="10" fillId="0" borderId="9" xfId="14" applyNumberFormat="1" applyFont="1" applyBorder="1" applyAlignment="1" applyProtection="1">
      <alignment vertical="center"/>
      <protection locked="0"/>
    </xf>
    <xf numFmtId="167" fontId="13" fillId="0" borderId="6" xfId="14" applyNumberFormat="1" applyFont="1" applyBorder="1" applyAlignment="1">
      <alignment vertical="center"/>
    </xf>
    <xf numFmtId="167" fontId="13" fillId="0" borderId="20" xfId="14" applyNumberFormat="1" applyFont="1" applyBorder="1" applyAlignment="1">
      <alignment vertical="center"/>
    </xf>
    <xf numFmtId="167" fontId="10" fillId="0" borderId="33" xfId="14" applyNumberFormat="1" applyFont="1" applyBorder="1" applyAlignment="1">
      <alignment vertical="center"/>
    </xf>
    <xf numFmtId="167" fontId="10" fillId="0" borderId="10" xfId="14" applyNumberFormat="1" applyFont="1" applyBorder="1" applyAlignment="1" applyProtection="1">
      <alignment vertical="center"/>
      <protection locked="0"/>
    </xf>
    <xf numFmtId="167" fontId="10" fillId="0" borderId="21" xfId="14" applyNumberFormat="1" applyFont="1" applyBorder="1" applyAlignment="1" applyProtection="1">
      <alignment vertical="center"/>
      <protection locked="0"/>
    </xf>
    <xf numFmtId="167" fontId="10" fillId="0" borderId="7" xfId="14" applyNumberFormat="1" applyFont="1" applyBorder="1" applyAlignment="1" applyProtection="1">
      <alignment vertical="center"/>
      <protection locked="0"/>
    </xf>
    <xf numFmtId="167" fontId="9" fillId="0" borderId="20" xfId="14" applyNumberFormat="1" applyFont="1" applyFill="1" applyBorder="1" applyAlignment="1">
      <alignment vertical="center"/>
    </xf>
    <xf numFmtId="167" fontId="10" fillId="0" borderId="36" xfId="14" applyNumberFormat="1" applyFont="1" applyBorder="1" applyAlignment="1" applyProtection="1">
      <alignment vertical="center"/>
      <protection locked="0"/>
    </xf>
    <xf numFmtId="167" fontId="9" fillId="0" borderId="37" xfId="14" applyNumberFormat="1" applyFont="1" applyFill="1" applyBorder="1" applyAlignment="1">
      <alignment vertical="center"/>
    </xf>
  </cellXfs>
  <cellStyles count="15">
    <cellStyle name="Comma 2" xfId="11" xr:uid="{00000000-0005-0000-0000-000001000000}"/>
    <cellStyle name="Comma 2 2" xfId="10" xr:uid="{00000000-0005-0000-0000-000002000000}"/>
    <cellStyle name="Comma 3" xfId="4" xr:uid="{00000000-0005-0000-0000-000003000000}"/>
    <cellStyle name="Currency" xfId="14" builtinId="4"/>
    <cellStyle name="Currency 2" xfId="5" xr:uid="{00000000-0005-0000-0000-000004000000}"/>
    <cellStyle name="Normal" xfId="0" builtinId="0"/>
    <cellStyle name="Normal 2" xfId="2" xr:uid="{00000000-0005-0000-0000-000007000000}"/>
    <cellStyle name="Normal 2 2" xfId="7" xr:uid="{00000000-0005-0000-0000-000008000000}"/>
    <cellStyle name="Normal 2 3" xfId="12" xr:uid="{00000000-0005-0000-0000-000009000000}"/>
    <cellStyle name="Normal 3" xfId="8" xr:uid="{00000000-0005-0000-0000-00000A000000}"/>
    <cellStyle name="Normal 4" xfId="3" xr:uid="{00000000-0005-0000-0000-00000B000000}"/>
    <cellStyle name="Normal 4 2" xfId="13" xr:uid="{00000000-0005-0000-0000-00000C000000}"/>
    <cellStyle name="Percent" xfId="1" builtinId="5"/>
    <cellStyle name="Percent 2" xfId="9" xr:uid="{00000000-0005-0000-0000-00000E000000}"/>
    <cellStyle name="常规_产品规格表" xfId="6" xr:uid="{00000000-0005-0000-0000-00000F000000}"/>
  </cellStyles>
  <dxfs count="0"/>
  <tableStyles count="0" defaultTableStyle="TableStyleMedium2" defaultPivotStyle="PivotStyleLight16"/>
  <colors>
    <mruColors>
      <color rgb="FFFFCCCC"/>
      <color rgb="FFFFCCFF"/>
      <color rgb="FFFF99FF"/>
      <color rgb="FFFF66FF"/>
      <color rgb="FFFF9999"/>
      <color rgb="FF6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L1048360"/>
  <sheetViews>
    <sheetView showGridLines="0" tabSelected="1" zoomScale="110" zoomScaleNormal="110" workbookViewId="0">
      <pane xSplit="10" ySplit="2" topLeftCell="K3" activePane="bottomRight" state="frozen"/>
      <selection pane="topRight" activeCell="C125" sqref="C125"/>
      <selection pane="bottomLeft" activeCell="C125" sqref="C125"/>
      <selection pane="bottomRight" activeCell="M7" sqref="M7"/>
    </sheetView>
  </sheetViews>
  <sheetFormatPr defaultColWidth="14.44140625" defaultRowHeight="13.2" customHeight="1" x14ac:dyDescent="0.3"/>
  <cols>
    <col min="1" max="1" width="20.88671875" style="7" customWidth="1"/>
    <col min="2" max="2" width="7" style="36" bestFit="1" customWidth="1"/>
    <col min="3" max="3" width="8.44140625" style="35" bestFit="1" customWidth="1"/>
    <col min="4" max="4" width="10.44140625" style="36" bestFit="1" customWidth="1"/>
    <col min="5" max="5" width="4" style="36" bestFit="1" customWidth="1"/>
    <col min="6" max="6" width="9" style="36" bestFit="1" customWidth="1"/>
    <col min="7" max="7" width="11.33203125" style="36" bestFit="1" customWidth="1"/>
    <col min="8" max="8" width="11.21875" style="36" bestFit="1" customWidth="1"/>
    <col min="9" max="9" width="10.109375" style="7" bestFit="1" customWidth="1"/>
    <col min="10" max="10" width="6" style="7" bestFit="1" customWidth="1"/>
    <col min="11" max="11" width="12" style="37" bestFit="1" customWidth="1"/>
    <col min="12" max="12" width="12" style="5" bestFit="1" customWidth="1"/>
    <col min="13" max="16384" width="14.44140625" style="41"/>
  </cols>
  <sheetData>
    <row r="1" spans="1:12" ht="19.2" customHeight="1" thickBot="1" x14ac:dyDescent="0.35">
      <c r="A1" s="1" t="s">
        <v>0</v>
      </c>
      <c r="B1" s="2">
        <v>46143</v>
      </c>
      <c r="C1" s="3"/>
      <c r="D1" s="4"/>
      <c r="E1" s="4"/>
      <c r="F1" s="5"/>
      <c r="G1" s="5"/>
      <c r="H1" s="6"/>
      <c r="I1" s="6"/>
      <c r="J1" s="6"/>
      <c r="K1" s="7"/>
      <c r="L1" s="7"/>
    </row>
    <row r="2" spans="1:12" ht="16.2" customHeight="1" x14ac:dyDescent="0.3">
      <c r="A2" s="44" t="s">
        <v>1</v>
      </c>
      <c r="B2" s="8" t="s">
        <v>181</v>
      </c>
      <c r="C2" s="9" t="s">
        <v>2</v>
      </c>
      <c r="D2" s="10" t="s">
        <v>3</v>
      </c>
      <c r="E2" s="10" t="s">
        <v>4</v>
      </c>
      <c r="F2" s="10" t="s">
        <v>5</v>
      </c>
      <c r="G2" s="11" t="s">
        <v>6</v>
      </c>
      <c r="H2" s="11" t="s">
        <v>7</v>
      </c>
      <c r="I2" s="11" t="s">
        <v>8</v>
      </c>
      <c r="J2" s="10" t="s">
        <v>9</v>
      </c>
      <c r="K2" s="12" t="s">
        <v>10</v>
      </c>
      <c r="L2" s="45" t="s">
        <v>11</v>
      </c>
    </row>
    <row r="3" spans="1:12" s="42" customFormat="1" ht="10.199999999999999" x14ac:dyDescent="0.3">
      <c r="A3" s="46" t="s">
        <v>13</v>
      </c>
      <c r="B3" s="13" t="s">
        <v>12</v>
      </c>
      <c r="C3" s="14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15" t="s">
        <v>21</v>
      </c>
      <c r="K3" s="68">
        <v>7640000</v>
      </c>
      <c r="L3" s="69">
        <v>11230000</v>
      </c>
    </row>
    <row r="4" spans="1:12" s="42" customFormat="1" ht="10.199999999999999" x14ac:dyDescent="0.3">
      <c r="A4" s="46" t="s">
        <v>22</v>
      </c>
      <c r="B4" s="13" t="s">
        <v>12</v>
      </c>
      <c r="C4" s="14">
        <v>0.47960000000000003</v>
      </c>
      <c r="D4" s="15" t="s">
        <v>15</v>
      </c>
      <c r="E4" s="15" t="s">
        <v>16</v>
      </c>
      <c r="F4" s="15" t="s">
        <v>23</v>
      </c>
      <c r="G4" s="15" t="s">
        <v>18</v>
      </c>
      <c r="H4" s="15" t="s">
        <v>19</v>
      </c>
      <c r="I4" s="15" t="s">
        <v>20</v>
      </c>
      <c r="J4" s="15" t="s">
        <v>21</v>
      </c>
      <c r="K4" s="68">
        <v>8910000</v>
      </c>
      <c r="L4" s="69">
        <v>13110000</v>
      </c>
    </row>
    <row r="5" spans="1:12" s="42" customFormat="1" ht="10.199999999999999" x14ac:dyDescent="0.3">
      <c r="A5" s="46" t="s">
        <v>24</v>
      </c>
      <c r="B5" s="13" t="s">
        <v>12</v>
      </c>
      <c r="C5" s="14">
        <v>0.47520000000000001</v>
      </c>
      <c r="D5" s="15" t="s">
        <v>15</v>
      </c>
      <c r="E5" s="15" t="s">
        <v>16</v>
      </c>
      <c r="F5" s="15" t="s">
        <v>25</v>
      </c>
      <c r="G5" s="15" t="s">
        <v>18</v>
      </c>
      <c r="H5" s="15" t="s">
        <v>19</v>
      </c>
      <c r="I5" s="15" t="s">
        <v>20</v>
      </c>
      <c r="J5" s="15" t="s">
        <v>21</v>
      </c>
      <c r="K5" s="68">
        <v>11550000</v>
      </c>
      <c r="L5" s="69">
        <v>16980000</v>
      </c>
    </row>
    <row r="6" spans="1:12" s="42" customFormat="1" ht="10.199999999999999" x14ac:dyDescent="0.3">
      <c r="A6" s="46" t="s">
        <v>26</v>
      </c>
      <c r="B6" s="13" t="s">
        <v>12</v>
      </c>
      <c r="C6" s="14" t="s">
        <v>14</v>
      </c>
      <c r="D6" s="15" t="s">
        <v>27</v>
      </c>
      <c r="E6" s="15" t="s">
        <v>28</v>
      </c>
      <c r="F6" s="15" t="s">
        <v>29</v>
      </c>
      <c r="G6" s="15" t="s">
        <v>18</v>
      </c>
      <c r="H6" s="15" t="s">
        <v>19</v>
      </c>
      <c r="I6" s="15" t="s">
        <v>30</v>
      </c>
      <c r="J6" s="15" t="s">
        <v>21</v>
      </c>
      <c r="K6" s="70">
        <f>ROUNDUP(5230000*120%,-4)</f>
        <v>6280000</v>
      </c>
      <c r="L6" s="71">
        <f>ROUNDUP(7310000*120%,-4)</f>
        <v>8780000</v>
      </c>
    </row>
    <row r="7" spans="1:12" s="42" customFormat="1" ht="10.199999999999999" x14ac:dyDescent="0.3">
      <c r="A7" s="47" t="s">
        <v>31</v>
      </c>
      <c r="B7" s="13" t="s">
        <v>12</v>
      </c>
      <c r="C7" s="16">
        <v>0.45100000000000001</v>
      </c>
      <c r="D7" s="17" t="s">
        <v>32</v>
      </c>
      <c r="E7" s="17" t="s">
        <v>16</v>
      </c>
      <c r="F7" s="17" t="s">
        <v>17</v>
      </c>
      <c r="G7" s="17" t="s">
        <v>18</v>
      </c>
      <c r="H7" s="17" t="s">
        <v>19</v>
      </c>
      <c r="I7" s="18" t="s">
        <v>30</v>
      </c>
      <c r="J7" s="17" t="s">
        <v>33</v>
      </c>
      <c r="K7" s="68">
        <v>9230000</v>
      </c>
      <c r="L7" s="69">
        <v>13580000</v>
      </c>
    </row>
    <row r="8" spans="1:12" s="42" customFormat="1" ht="10.199999999999999" x14ac:dyDescent="0.3">
      <c r="A8" s="48" t="s">
        <v>34</v>
      </c>
      <c r="B8" s="13" t="s">
        <v>12</v>
      </c>
      <c r="C8" s="16">
        <v>0.4506</v>
      </c>
      <c r="D8" s="18" t="s">
        <v>32</v>
      </c>
      <c r="E8" s="18" t="s">
        <v>16</v>
      </c>
      <c r="F8" s="18" t="s">
        <v>23</v>
      </c>
      <c r="G8" s="18" t="s">
        <v>18</v>
      </c>
      <c r="H8" s="18" t="s">
        <v>19</v>
      </c>
      <c r="I8" s="18" t="s">
        <v>30</v>
      </c>
      <c r="J8" s="18" t="s">
        <v>33</v>
      </c>
      <c r="K8" s="68">
        <v>10520000</v>
      </c>
      <c r="L8" s="69">
        <v>15470000</v>
      </c>
    </row>
    <row r="9" spans="1:12" s="42" customFormat="1" ht="10.199999999999999" x14ac:dyDescent="0.3">
      <c r="A9" s="48" t="s">
        <v>35</v>
      </c>
      <c r="B9" s="13" t="s">
        <v>12</v>
      </c>
      <c r="C9" s="16">
        <v>0.44940000000000002</v>
      </c>
      <c r="D9" s="18" t="s">
        <v>32</v>
      </c>
      <c r="E9" s="18" t="s">
        <v>16</v>
      </c>
      <c r="F9" s="18" t="s">
        <v>25</v>
      </c>
      <c r="G9" s="18" t="s">
        <v>18</v>
      </c>
      <c r="H9" s="18" t="s">
        <v>19</v>
      </c>
      <c r="I9" s="18" t="s">
        <v>30</v>
      </c>
      <c r="J9" s="18" t="s">
        <v>33</v>
      </c>
      <c r="K9" s="68">
        <v>13150000</v>
      </c>
      <c r="L9" s="69">
        <v>19340000</v>
      </c>
    </row>
    <row r="10" spans="1:12" s="42" customFormat="1" ht="10.199999999999999" x14ac:dyDescent="0.3">
      <c r="A10" s="48" t="s">
        <v>36</v>
      </c>
      <c r="B10" s="13" t="s">
        <v>12</v>
      </c>
      <c r="C10" s="14" t="s">
        <v>37</v>
      </c>
      <c r="D10" s="18" t="s">
        <v>38</v>
      </c>
      <c r="E10" s="18" t="s">
        <v>16</v>
      </c>
      <c r="F10" s="18" t="s">
        <v>23</v>
      </c>
      <c r="G10" s="18" t="s">
        <v>18</v>
      </c>
      <c r="H10" s="18" t="s">
        <v>19</v>
      </c>
      <c r="I10" s="18" t="s">
        <v>20</v>
      </c>
      <c r="J10" s="18" t="s">
        <v>33</v>
      </c>
      <c r="K10" s="68">
        <v>11360000</v>
      </c>
      <c r="L10" s="69">
        <v>16700000</v>
      </c>
    </row>
    <row r="11" spans="1:12" s="42" customFormat="1" ht="10.199999999999999" x14ac:dyDescent="0.3">
      <c r="A11" s="48" t="s">
        <v>39</v>
      </c>
      <c r="B11" s="13" t="s">
        <v>12</v>
      </c>
      <c r="C11" s="14">
        <v>0.44840000000000002</v>
      </c>
      <c r="D11" s="18" t="s">
        <v>38</v>
      </c>
      <c r="E11" s="18" t="s">
        <v>16</v>
      </c>
      <c r="F11" s="18" t="s">
        <v>25</v>
      </c>
      <c r="G11" s="18" t="s">
        <v>18</v>
      </c>
      <c r="H11" s="18" t="s">
        <v>19</v>
      </c>
      <c r="I11" s="18" t="s">
        <v>20</v>
      </c>
      <c r="J11" s="18" t="s">
        <v>33</v>
      </c>
      <c r="K11" s="68">
        <v>13990000</v>
      </c>
      <c r="L11" s="69">
        <v>20570000</v>
      </c>
    </row>
    <row r="12" spans="1:12" s="42" customFormat="1" ht="10.199999999999999" x14ac:dyDescent="0.3">
      <c r="A12" s="48" t="s">
        <v>40</v>
      </c>
      <c r="B12" s="13" t="s">
        <v>12</v>
      </c>
      <c r="C12" s="14">
        <v>0.4481</v>
      </c>
      <c r="D12" s="18" t="s">
        <v>38</v>
      </c>
      <c r="E12" s="18" t="s">
        <v>41</v>
      </c>
      <c r="F12" s="18" t="s">
        <v>25</v>
      </c>
      <c r="G12" s="18" t="s">
        <v>18</v>
      </c>
      <c r="H12" s="18" t="s">
        <v>19</v>
      </c>
      <c r="I12" s="18" t="s">
        <v>20</v>
      </c>
      <c r="J12" s="18" t="s">
        <v>33</v>
      </c>
      <c r="K12" s="68">
        <v>15080000</v>
      </c>
      <c r="L12" s="69">
        <v>22170000</v>
      </c>
    </row>
    <row r="13" spans="1:12" ht="10.199999999999999" x14ac:dyDescent="0.3">
      <c r="A13" s="49" t="s">
        <v>42</v>
      </c>
      <c r="B13" s="13" t="s">
        <v>12</v>
      </c>
      <c r="C13" s="14">
        <v>0.45810000000000001</v>
      </c>
      <c r="D13" s="18" t="s">
        <v>43</v>
      </c>
      <c r="E13" s="18" t="s">
        <v>44</v>
      </c>
      <c r="F13" s="18" t="s">
        <v>45</v>
      </c>
      <c r="G13" s="18" t="s">
        <v>18</v>
      </c>
      <c r="H13" s="18" t="s">
        <v>19</v>
      </c>
      <c r="I13" s="18" t="s">
        <v>30</v>
      </c>
      <c r="J13" s="18" t="s">
        <v>21</v>
      </c>
      <c r="K13" s="72">
        <v>7250000</v>
      </c>
      <c r="L13" s="71">
        <v>10660000</v>
      </c>
    </row>
    <row r="14" spans="1:12" s="43" customFormat="1" ht="10.199999999999999" x14ac:dyDescent="0.3">
      <c r="A14" s="49" t="s">
        <v>46</v>
      </c>
      <c r="B14" s="13" t="s">
        <v>12</v>
      </c>
      <c r="C14" s="14">
        <v>0.45779999999999998</v>
      </c>
      <c r="D14" s="18" t="s">
        <v>43</v>
      </c>
      <c r="E14" s="18" t="s">
        <v>44</v>
      </c>
      <c r="F14" s="18" t="s">
        <v>17</v>
      </c>
      <c r="G14" s="18" t="s">
        <v>18</v>
      </c>
      <c r="H14" s="18" t="s">
        <v>19</v>
      </c>
      <c r="I14" s="18" t="s">
        <v>30</v>
      </c>
      <c r="J14" s="18" t="s">
        <v>21</v>
      </c>
      <c r="K14" s="72">
        <v>7960000</v>
      </c>
      <c r="L14" s="73">
        <v>11700000</v>
      </c>
    </row>
    <row r="15" spans="1:12" ht="10.199999999999999" x14ac:dyDescent="0.3">
      <c r="A15" s="48" t="s">
        <v>47</v>
      </c>
      <c r="B15" s="13" t="s">
        <v>12</v>
      </c>
      <c r="C15" s="14">
        <v>0.47339999999999999</v>
      </c>
      <c r="D15" s="18" t="s">
        <v>43</v>
      </c>
      <c r="E15" s="18" t="s">
        <v>16</v>
      </c>
      <c r="F15" s="18" t="s">
        <v>17</v>
      </c>
      <c r="G15" s="18" t="s">
        <v>18</v>
      </c>
      <c r="H15" s="18" t="s">
        <v>19</v>
      </c>
      <c r="I15" s="18" t="s">
        <v>30</v>
      </c>
      <c r="J15" s="18" t="s">
        <v>21</v>
      </c>
      <c r="K15" s="72">
        <v>8720000</v>
      </c>
      <c r="L15" s="73">
        <v>12830000</v>
      </c>
    </row>
    <row r="16" spans="1:12" ht="10.199999999999999" x14ac:dyDescent="0.3">
      <c r="A16" s="50" t="s">
        <v>48</v>
      </c>
      <c r="B16" s="13" t="s">
        <v>12</v>
      </c>
      <c r="C16" s="16">
        <v>0.4556</v>
      </c>
      <c r="D16" s="18" t="s">
        <v>43</v>
      </c>
      <c r="E16" s="18" t="s">
        <v>16</v>
      </c>
      <c r="F16" s="18" t="s">
        <v>23</v>
      </c>
      <c r="G16" s="18" t="s">
        <v>18</v>
      </c>
      <c r="H16" s="18" t="s">
        <v>19</v>
      </c>
      <c r="I16" s="18" t="s">
        <v>30</v>
      </c>
      <c r="J16" s="18" t="s">
        <v>21</v>
      </c>
      <c r="K16" s="72">
        <v>10010000</v>
      </c>
      <c r="L16" s="73">
        <v>14720000</v>
      </c>
    </row>
    <row r="17" spans="1:12" ht="10.199999999999999" x14ac:dyDescent="0.3">
      <c r="A17" s="46" t="s">
        <v>49</v>
      </c>
      <c r="B17" s="13" t="s">
        <v>12</v>
      </c>
      <c r="C17" s="14">
        <v>0.47339999999999999</v>
      </c>
      <c r="D17" s="15" t="s">
        <v>50</v>
      </c>
      <c r="E17" s="15" t="s">
        <v>16</v>
      </c>
      <c r="F17" s="15" t="s">
        <v>51</v>
      </c>
      <c r="G17" s="15" t="s">
        <v>18</v>
      </c>
      <c r="H17" s="15" t="s">
        <v>19</v>
      </c>
      <c r="I17" s="15" t="s">
        <v>52</v>
      </c>
      <c r="J17" s="15" t="s">
        <v>21</v>
      </c>
      <c r="K17" s="68">
        <f>ROUNDUP(8750000*120%,-4)</f>
        <v>10500000</v>
      </c>
      <c r="L17" s="69">
        <f>ROUNDUP(12590000*120%,-4)</f>
        <v>15110000</v>
      </c>
    </row>
    <row r="18" spans="1:12" ht="10.199999999999999" x14ac:dyDescent="0.3">
      <c r="A18" s="51" t="s">
        <v>53</v>
      </c>
      <c r="B18" s="13" t="s">
        <v>12</v>
      </c>
      <c r="C18" s="14">
        <v>0.47339999999999999</v>
      </c>
      <c r="D18" s="20" t="s">
        <v>54</v>
      </c>
      <c r="E18" s="20" t="s">
        <v>16</v>
      </c>
      <c r="F18" s="20" t="s">
        <v>17</v>
      </c>
      <c r="G18" s="20" t="s">
        <v>18</v>
      </c>
      <c r="H18" s="20" t="s">
        <v>19</v>
      </c>
      <c r="I18" s="20" t="s">
        <v>20</v>
      </c>
      <c r="J18" s="20" t="s">
        <v>21</v>
      </c>
      <c r="K18" s="68">
        <v>11170000</v>
      </c>
      <c r="L18" s="69">
        <v>16420000</v>
      </c>
    </row>
    <row r="19" spans="1:12" ht="10.199999999999999" x14ac:dyDescent="0.3">
      <c r="A19" s="52" t="s">
        <v>55</v>
      </c>
      <c r="B19" s="13" t="s">
        <v>12</v>
      </c>
      <c r="C19" s="16">
        <v>0.4556</v>
      </c>
      <c r="D19" s="20" t="s">
        <v>54</v>
      </c>
      <c r="E19" s="20" t="s">
        <v>16</v>
      </c>
      <c r="F19" s="20" t="s">
        <v>23</v>
      </c>
      <c r="G19" s="20" t="s">
        <v>18</v>
      </c>
      <c r="H19" s="20" t="s">
        <v>19</v>
      </c>
      <c r="I19" s="20" t="s">
        <v>20</v>
      </c>
      <c r="J19" s="20" t="s">
        <v>21</v>
      </c>
      <c r="K19" s="68">
        <v>12120000</v>
      </c>
      <c r="L19" s="69">
        <v>17830000</v>
      </c>
    </row>
    <row r="20" spans="1:12" ht="10.199999999999999" x14ac:dyDescent="0.3">
      <c r="A20" s="53" t="s">
        <v>56</v>
      </c>
      <c r="B20" s="13" t="s">
        <v>12</v>
      </c>
      <c r="C20" s="14">
        <v>0.45469999999999999</v>
      </c>
      <c r="D20" s="20" t="s">
        <v>54</v>
      </c>
      <c r="E20" s="20" t="s">
        <v>16</v>
      </c>
      <c r="F20" s="20" t="s">
        <v>25</v>
      </c>
      <c r="G20" s="20" t="s">
        <v>18</v>
      </c>
      <c r="H20" s="20" t="s">
        <v>19</v>
      </c>
      <c r="I20" s="20" t="s">
        <v>20</v>
      </c>
      <c r="J20" s="20" t="s">
        <v>21</v>
      </c>
      <c r="K20" s="68">
        <v>14310000</v>
      </c>
      <c r="L20" s="69">
        <v>21040000</v>
      </c>
    </row>
    <row r="21" spans="1:12" ht="10.199999999999999" x14ac:dyDescent="0.3">
      <c r="A21" s="54" t="s">
        <v>57</v>
      </c>
      <c r="B21" s="13" t="s">
        <v>12</v>
      </c>
      <c r="C21" s="16">
        <v>0.45100000000000001</v>
      </c>
      <c r="D21" s="18" t="s">
        <v>58</v>
      </c>
      <c r="E21" s="18" t="s">
        <v>16</v>
      </c>
      <c r="F21" s="18" t="s">
        <v>51</v>
      </c>
      <c r="G21" s="18" t="s">
        <v>18</v>
      </c>
      <c r="H21" s="18" t="s">
        <v>19</v>
      </c>
      <c r="I21" s="18" t="s">
        <v>20</v>
      </c>
      <c r="J21" s="18" t="s">
        <v>21</v>
      </c>
      <c r="K21" s="72">
        <v>7700000</v>
      </c>
      <c r="L21" s="74">
        <v>7950000</v>
      </c>
    </row>
    <row r="22" spans="1:12" ht="10.199999999999999" x14ac:dyDescent="0.3">
      <c r="A22" s="46" t="s">
        <v>59</v>
      </c>
      <c r="B22" s="13" t="s">
        <v>12</v>
      </c>
      <c r="C22" s="14" t="s">
        <v>37</v>
      </c>
      <c r="D22" s="15" t="s">
        <v>58</v>
      </c>
      <c r="E22" s="15" t="s">
        <v>16</v>
      </c>
      <c r="F22" s="15" t="s">
        <v>23</v>
      </c>
      <c r="G22" s="15" t="s">
        <v>18</v>
      </c>
      <c r="H22" s="15" t="s">
        <v>19</v>
      </c>
      <c r="I22" s="15" t="s">
        <v>20</v>
      </c>
      <c r="J22" s="15" t="s">
        <v>21</v>
      </c>
      <c r="K22" s="68" t="e">
        <f>#REF!+900000</f>
        <v>#REF!</v>
      </c>
      <c r="L22" s="69" t="e">
        <f>#REF!+1400000</f>
        <v>#REF!</v>
      </c>
    </row>
    <row r="23" spans="1:12" ht="10.199999999999999" x14ac:dyDescent="0.3">
      <c r="A23" s="49" t="s">
        <v>60</v>
      </c>
      <c r="B23" s="13" t="s">
        <v>12</v>
      </c>
      <c r="C23" s="14">
        <v>0.45100000000000001</v>
      </c>
      <c r="D23" s="18" t="s">
        <v>61</v>
      </c>
      <c r="E23" s="18" t="s">
        <v>16</v>
      </c>
      <c r="F23" s="18" t="s">
        <v>17</v>
      </c>
      <c r="G23" s="18" t="s">
        <v>18</v>
      </c>
      <c r="H23" s="18" t="s">
        <v>19</v>
      </c>
      <c r="I23" s="18" t="s">
        <v>20</v>
      </c>
      <c r="J23" s="18" t="s">
        <v>21</v>
      </c>
      <c r="K23" s="72">
        <v>12630000</v>
      </c>
      <c r="L23" s="71">
        <v>18580000</v>
      </c>
    </row>
    <row r="24" spans="1:12" ht="10.199999999999999" x14ac:dyDescent="0.3">
      <c r="A24" s="50" t="s">
        <v>62</v>
      </c>
      <c r="B24" s="13" t="s">
        <v>12</v>
      </c>
      <c r="C24" s="14" t="s">
        <v>37</v>
      </c>
      <c r="D24" s="18" t="s">
        <v>61</v>
      </c>
      <c r="E24" s="18" t="s">
        <v>16</v>
      </c>
      <c r="F24" s="18" t="s">
        <v>23</v>
      </c>
      <c r="G24" s="18" t="s">
        <v>18</v>
      </c>
      <c r="H24" s="18" t="s">
        <v>19</v>
      </c>
      <c r="I24" s="18" t="s">
        <v>20</v>
      </c>
      <c r="J24" s="18" t="s">
        <v>21</v>
      </c>
      <c r="K24" s="72">
        <v>14500000</v>
      </c>
      <c r="L24" s="73">
        <v>21320000</v>
      </c>
    </row>
    <row r="25" spans="1:12" ht="10.199999999999999" x14ac:dyDescent="0.3">
      <c r="A25" s="50" t="s">
        <v>63</v>
      </c>
      <c r="B25" s="13" t="s">
        <v>12</v>
      </c>
      <c r="C25" s="14">
        <v>0.4506</v>
      </c>
      <c r="D25" s="18" t="s">
        <v>61</v>
      </c>
      <c r="E25" s="18" t="s">
        <v>41</v>
      </c>
      <c r="F25" s="18" t="s">
        <v>25</v>
      </c>
      <c r="G25" s="18" t="s">
        <v>18</v>
      </c>
      <c r="H25" s="18" t="s">
        <v>19</v>
      </c>
      <c r="I25" s="18" t="s">
        <v>20</v>
      </c>
      <c r="J25" s="18" t="s">
        <v>21</v>
      </c>
      <c r="K25" s="72">
        <v>18030000</v>
      </c>
      <c r="L25" s="75">
        <v>26510000</v>
      </c>
    </row>
    <row r="26" spans="1:12" ht="10.199999999999999" x14ac:dyDescent="0.3">
      <c r="A26" s="50" t="s">
        <v>65</v>
      </c>
      <c r="B26" s="13" t="s">
        <v>12</v>
      </c>
      <c r="C26" s="14">
        <v>0.44840000000000002</v>
      </c>
      <c r="D26" s="18" t="s">
        <v>64</v>
      </c>
      <c r="E26" s="18" t="s">
        <v>16</v>
      </c>
      <c r="F26" s="18" t="s">
        <v>25</v>
      </c>
      <c r="G26" s="18" t="s">
        <v>18</v>
      </c>
      <c r="H26" s="18" t="s">
        <v>19</v>
      </c>
      <c r="I26" s="18" t="s">
        <v>30</v>
      </c>
      <c r="J26" s="18" t="s">
        <v>21</v>
      </c>
      <c r="K26" s="72">
        <v>12380000</v>
      </c>
      <c r="L26" s="74">
        <v>18210000</v>
      </c>
    </row>
    <row r="27" spans="1:12" ht="10.199999999999999" x14ac:dyDescent="0.3">
      <c r="A27" s="49" t="s">
        <v>66</v>
      </c>
      <c r="B27" s="13" t="s">
        <v>12</v>
      </c>
      <c r="C27" s="14">
        <v>0.44740000000000002</v>
      </c>
      <c r="D27" s="18" t="s">
        <v>64</v>
      </c>
      <c r="E27" s="18" t="s">
        <v>41</v>
      </c>
      <c r="F27" s="18" t="s">
        <v>23</v>
      </c>
      <c r="G27" s="18" t="s">
        <v>18</v>
      </c>
      <c r="H27" s="18" t="s">
        <v>19</v>
      </c>
      <c r="I27" s="18" t="s">
        <v>30</v>
      </c>
      <c r="J27" s="18" t="s">
        <v>21</v>
      </c>
      <c r="K27" s="72">
        <v>13340000</v>
      </c>
      <c r="L27" s="74">
        <v>19620000</v>
      </c>
    </row>
    <row r="28" spans="1:12" ht="10.199999999999999" x14ac:dyDescent="0.3">
      <c r="A28" s="49" t="s">
        <v>67</v>
      </c>
      <c r="B28" s="13" t="s">
        <v>12</v>
      </c>
      <c r="C28" s="14">
        <v>0.4481</v>
      </c>
      <c r="D28" s="18" t="s">
        <v>64</v>
      </c>
      <c r="E28" s="18" t="s">
        <v>41</v>
      </c>
      <c r="F28" s="18" t="s">
        <v>25</v>
      </c>
      <c r="G28" s="18" t="s">
        <v>18</v>
      </c>
      <c r="H28" s="18" t="s">
        <v>19</v>
      </c>
      <c r="I28" s="18" t="s">
        <v>30</v>
      </c>
      <c r="J28" s="18" t="s">
        <v>21</v>
      </c>
      <c r="K28" s="72">
        <v>13730000</v>
      </c>
      <c r="L28" s="74">
        <v>20190000</v>
      </c>
    </row>
    <row r="29" spans="1:12" ht="10.199999999999999" x14ac:dyDescent="0.3">
      <c r="A29" s="55" t="s">
        <v>69</v>
      </c>
      <c r="B29" s="13" t="s">
        <v>12</v>
      </c>
      <c r="C29" s="14">
        <v>0.44969999999999999</v>
      </c>
      <c r="D29" s="15" t="s">
        <v>70</v>
      </c>
      <c r="E29" s="15" t="s">
        <v>16</v>
      </c>
      <c r="F29" s="15" t="s">
        <v>23</v>
      </c>
      <c r="G29" s="15" t="s">
        <v>18</v>
      </c>
      <c r="H29" s="15" t="s">
        <v>19</v>
      </c>
      <c r="I29" s="15" t="s">
        <v>52</v>
      </c>
      <c r="J29" s="15" t="s">
        <v>21</v>
      </c>
      <c r="K29" s="68">
        <v>12460000</v>
      </c>
      <c r="L29" s="69">
        <v>18390000</v>
      </c>
    </row>
    <row r="30" spans="1:12" ht="10.199999999999999" x14ac:dyDescent="0.3">
      <c r="A30" s="56" t="s">
        <v>71</v>
      </c>
      <c r="B30" s="13" t="s">
        <v>12</v>
      </c>
      <c r="C30" s="14">
        <v>0.44969999999999999</v>
      </c>
      <c r="D30" s="18" t="s">
        <v>72</v>
      </c>
      <c r="E30" s="18" t="s">
        <v>16</v>
      </c>
      <c r="F30" s="18" t="s">
        <v>23</v>
      </c>
      <c r="G30" s="18" t="s">
        <v>18</v>
      </c>
      <c r="H30" s="18" t="s">
        <v>19</v>
      </c>
      <c r="I30" s="15" t="s">
        <v>52</v>
      </c>
      <c r="J30" s="15" t="s">
        <v>21</v>
      </c>
      <c r="K30" s="76">
        <v>14110000</v>
      </c>
      <c r="L30" s="71">
        <v>20710000</v>
      </c>
    </row>
    <row r="31" spans="1:12" ht="10.199999999999999" x14ac:dyDescent="0.3">
      <c r="A31" s="56" t="s">
        <v>73</v>
      </c>
      <c r="B31" s="13" t="s">
        <v>12</v>
      </c>
      <c r="C31" s="14">
        <v>0.44840000000000002</v>
      </c>
      <c r="D31" s="18" t="s">
        <v>72</v>
      </c>
      <c r="E31" s="18" t="s">
        <v>16</v>
      </c>
      <c r="F31" s="18" t="s">
        <v>25</v>
      </c>
      <c r="G31" s="18" t="s">
        <v>18</v>
      </c>
      <c r="H31" s="18" t="s">
        <v>19</v>
      </c>
      <c r="I31" s="15" t="s">
        <v>52</v>
      </c>
      <c r="J31" s="15" t="s">
        <v>21</v>
      </c>
      <c r="K31" s="77">
        <v>16030000</v>
      </c>
      <c r="L31" s="71">
        <v>23580000</v>
      </c>
    </row>
    <row r="32" spans="1:12" ht="10.199999999999999" x14ac:dyDescent="0.3">
      <c r="A32" s="54" t="s">
        <v>74</v>
      </c>
      <c r="B32" s="13" t="s">
        <v>12</v>
      </c>
      <c r="C32" s="14">
        <v>0.44740000000000002</v>
      </c>
      <c r="D32" s="18" t="s">
        <v>72</v>
      </c>
      <c r="E32" s="18" t="s">
        <v>41</v>
      </c>
      <c r="F32" s="18" t="s">
        <v>75</v>
      </c>
      <c r="G32" s="18" t="s">
        <v>18</v>
      </c>
      <c r="H32" s="18" t="s">
        <v>19</v>
      </c>
      <c r="I32" s="15" t="s">
        <v>52</v>
      </c>
      <c r="J32" s="15" t="s">
        <v>21</v>
      </c>
      <c r="K32" s="78">
        <v>15010000</v>
      </c>
      <c r="L32" s="79">
        <v>22080000</v>
      </c>
    </row>
    <row r="33" spans="1:12" ht="10.199999999999999" x14ac:dyDescent="0.3">
      <c r="A33" s="54" t="s">
        <v>76</v>
      </c>
      <c r="B33" s="13" t="s">
        <v>12</v>
      </c>
      <c r="C33" s="14">
        <v>0.4481</v>
      </c>
      <c r="D33" s="18" t="s">
        <v>72</v>
      </c>
      <c r="E33" s="18" t="s">
        <v>41</v>
      </c>
      <c r="F33" s="18" t="s">
        <v>25</v>
      </c>
      <c r="G33" s="18" t="s">
        <v>18</v>
      </c>
      <c r="H33" s="18" t="s">
        <v>19</v>
      </c>
      <c r="I33" s="15" t="s">
        <v>52</v>
      </c>
      <c r="J33" s="15" t="s">
        <v>21</v>
      </c>
      <c r="K33" s="77">
        <v>17190000</v>
      </c>
      <c r="L33" s="73">
        <v>25280000</v>
      </c>
    </row>
    <row r="34" spans="1:12" ht="10.199999999999999" x14ac:dyDescent="0.3">
      <c r="A34" s="54" t="s">
        <v>77</v>
      </c>
      <c r="B34" s="13" t="s">
        <v>12</v>
      </c>
      <c r="C34" s="14">
        <v>0.4476</v>
      </c>
      <c r="D34" s="18" t="s">
        <v>72</v>
      </c>
      <c r="E34" s="18" t="s">
        <v>41</v>
      </c>
      <c r="F34" s="18" t="s">
        <v>68</v>
      </c>
      <c r="G34" s="18" t="s">
        <v>18</v>
      </c>
      <c r="H34" s="18" t="s">
        <v>19</v>
      </c>
      <c r="I34" s="15" t="s">
        <v>52</v>
      </c>
      <c r="J34" s="15" t="s">
        <v>21</v>
      </c>
      <c r="K34" s="80">
        <v>18800000</v>
      </c>
      <c r="L34" s="71">
        <v>27640000</v>
      </c>
    </row>
    <row r="35" spans="1:12" ht="10.199999999999999" x14ac:dyDescent="0.3">
      <c r="A35" s="50" t="s">
        <v>78</v>
      </c>
      <c r="B35" s="13" t="s">
        <v>12</v>
      </c>
      <c r="C35" s="14">
        <v>0.44969999999999999</v>
      </c>
      <c r="D35" s="18" t="s">
        <v>79</v>
      </c>
      <c r="E35" s="18" t="s">
        <v>16</v>
      </c>
      <c r="F35" s="18" t="s">
        <v>23</v>
      </c>
      <c r="G35" s="18" t="s">
        <v>18</v>
      </c>
      <c r="H35" s="18" t="s">
        <v>19</v>
      </c>
      <c r="I35" s="18" t="s">
        <v>20</v>
      </c>
      <c r="J35" s="18" t="s">
        <v>21</v>
      </c>
      <c r="K35" s="76">
        <v>17900000</v>
      </c>
      <c r="L35" s="71">
        <v>26320000</v>
      </c>
    </row>
    <row r="36" spans="1:12" ht="10.199999999999999" x14ac:dyDescent="0.3">
      <c r="A36" s="50" t="s">
        <v>80</v>
      </c>
      <c r="B36" s="13" t="s">
        <v>12</v>
      </c>
      <c r="C36" s="14">
        <v>0.44840000000000002</v>
      </c>
      <c r="D36" s="18" t="s">
        <v>79</v>
      </c>
      <c r="E36" s="18" t="s">
        <v>16</v>
      </c>
      <c r="F36" s="18" t="s">
        <v>25</v>
      </c>
      <c r="G36" s="18" t="s">
        <v>18</v>
      </c>
      <c r="H36" s="18" t="s">
        <v>19</v>
      </c>
      <c r="I36" s="18" t="s">
        <v>20</v>
      </c>
      <c r="J36" s="18" t="s">
        <v>21</v>
      </c>
      <c r="K36" s="76">
        <v>20210000</v>
      </c>
      <c r="L36" s="71">
        <v>29720000</v>
      </c>
    </row>
    <row r="37" spans="1:12" ht="10.199999999999999" x14ac:dyDescent="0.3">
      <c r="A37" s="57" t="s">
        <v>81</v>
      </c>
      <c r="B37" s="13" t="s">
        <v>12</v>
      </c>
      <c r="C37" s="22">
        <v>0.4481</v>
      </c>
      <c r="D37" s="23" t="s">
        <v>79</v>
      </c>
      <c r="E37" s="23" t="s">
        <v>41</v>
      </c>
      <c r="F37" s="23" t="s">
        <v>25</v>
      </c>
      <c r="G37" s="23" t="s">
        <v>18</v>
      </c>
      <c r="H37" s="23" t="s">
        <v>19</v>
      </c>
      <c r="I37" s="23" t="s">
        <v>20</v>
      </c>
      <c r="J37" s="23" t="s">
        <v>21</v>
      </c>
      <c r="K37" s="76">
        <v>21430000</v>
      </c>
      <c r="L37" s="71">
        <v>31510000</v>
      </c>
    </row>
    <row r="38" spans="1:12" ht="10.199999999999999" x14ac:dyDescent="0.3">
      <c r="A38" s="46" t="s">
        <v>82</v>
      </c>
      <c r="B38" s="13" t="s">
        <v>12</v>
      </c>
      <c r="C38" s="14">
        <v>0.4476</v>
      </c>
      <c r="D38" s="15" t="s">
        <v>79</v>
      </c>
      <c r="E38" s="15" t="s">
        <v>41</v>
      </c>
      <c r="F38" s="15" t="s">
        <v>68</v>
      </c>
      <c r="G38" s="15" t="s">
        <v>18</v>
      </c>
      <c r="H38" s="15" t="s">
        <v>19</v>
      </c>
      <c r="I38" s="15" t="s">
        <v>20</v>
      </c>
      <c r="J38" s="15" t="s">
        <v>21</v>
      </c>
      <c r="K38" s="76">
        <v>26880000</v>
      </c>
      <c r="L38" s="71">
        <v>39530000</v>
      </c>
    </row>
    <row r="39" spans="1:12" ht="10.199999999999999" x14ac:dyDescent="0.3">
      <c r="A39" s="46" t="s">
        <v>83</v>
      </c>
      <c r="B39" s="13" t="s">
        <v>12</v>
      </c>
      <c r="C39" s="14" t="s">
        <v>84</v>
      </c>
      <c r="D39" s="15" t="s">
        <v>85</v>
      </c>
      <c r="E39" s="15" t="s">
        <v>16</v>
      </c>
      <c r="F39" s="15" t="s">
        <v>86</v>
      </c>
      <c r="G39" s="15" t="s">
        <v>18</v>
      </c>
      <c r="H39" s="15" t="s">
        <v>19</v>
      </c>
      <c r="I39" s="15" t="s">
        <v>20</v>
      </c>
      <c r="J39" s="15" t="s">
        <v>21</v>
      </c>
      <c r="K39" s="76">
        <v>19430000</v>
      </c>
      <c r="L39" s="71">
        <v>28580000</v>
      </c>
    </row>
    <row r="40" spans="1:12" ht="10.199999999999999" x14ac:dyDescent="0.3">
      <c r="A40" s="58" t="s">
        <v>87</v>
      </c>
      <c r="B40" s="13" t="s">
        <v>12</v>
      </c>
      <c r="C40" s="14" t="s">
        <v>88</v>
      </c>
      <c r="D40" s="15" t="s">
        <v>85</v>
      </c>
      <c r="E40" s="24" t="s">
        <v>41</v>
      </c>
      <c r="F40" s="15" t="s">
        <v>86</v>
      </c>
      <c r="G40" s="24" t="s">
        <v>18</v>
      </c>
      <c r="H40" s="24" t="s">
        <v>19</v>
      </c>
      <c r="I40" s="24" t="s">
        <v>20</v>
      </c>
      <c r="J40" s="24" t="s">
        <v>21</v>
      </c>
      <c r="K40" s="81">
        <v>22390000</v>
      </c>
      <c r="L40" s="79">
        <v>32920000</v>
      </c>
    </row>
    <row r="41" spans="1:12" ht="10.199999999999999" x14ac:dyDescent="0.3">
      <c r="A41" s="46" t="s">
        <v>89</v>
      </c>
      <c r="B41" s="13" t="s">
        <v>12</v>
      </c>
      <c r="C41" s="14" t="s">
        <v>90</v>
      </c>
      <c r="D41" s="15" t="s">
        <v>91</v>
      </c>
      <c r="E41" s="15" t="s">
        <v>16</v>
      </c>
      <c r="F41" s="15" t="s">
        <v>86</v>
      </c>
      <c r="G41" s="15" t="s">
        <v>18</v>
      </c>
      <c r="H41" s="15" t="s">
        <v>19</v>
      </c>
      <c r="I41" s="15" t="s">
        <v>20</v>
      </c>
      <c r="J41" s="15" t="s">
        <v>21</v>
      </c>
      <c r="K41" s="68">
        <v>22640000</v>
      </c>
      <c r="L41" s="69">
        <v>33300000</v>
      </c>
    </row>
    <row r="42" spans="1:12" ht="10.199999999999999" x14ac:dyDescent="0.3">
      <c r="A42" s="46" t="s">
        <v>92</v>
      </c>
      <c r="B42" s="13" t="s">
        <v>12</v>
      </c>
      <c r="C42" s="14" t="s">
        <v>90</v>
      </c>
      <c r="D42" s="15" t="s">
        <v>91</v>
      </c>
      <c r="E42" s="15" t="s">
        <v>41</v>
      </c>
      <c r="F42" s="15" t="s">
        <v>86</v>
      </c>
      <c r="G42" s="15" t="s">
        <v>18</v>
      </c>
      <c r="H42" s="15" t="s">
        <v>19</v>
      </c>
      <c r="I42" s="15" t="s">
        <v>20</v>
      </c>
      <c r="J42" s="15" t="s">
        <v>21</v>
      </c>
      <c r="K42" s="68">
        <v>25600000</v>
      </c>
      <c r="L42" s="69">
        <v>37640000</v>
      </c>
    </row>
    <row r="43" spans="1:12" ht="10.199999999999999" x14ac:dyDescent="0.3">
      <c r="A43" s="50" t="s">
        <v>93</v>
      </c>
      <c r="B43" s="13" t="s">
        <v>12</v>
      </c>
      <c r="C43" s="14" t="s">
        <v>90</v>
      </c>
      <c r="D43" s="18" t="s">
        <v>94</v>
      </c>
      <c r="E43" s="18" t="s">
        <v>16</v>
      </c>
      <c r="F43" s="15" t="s">
        <v>86</v>
      </c>
      <c r="G43" s="18" t="s">
        <v>18</v>
      </c>
      <c r="H43" s="25" t="s">
        <v>95</v>
      </c>
      <c r="I43" s="18" t="s">
        <v>20</v>
      </c>
      <c r="J43" s="18" t="s">
        <v>21</v>
      </c>
      <c r="K43" s="76">
        <v>27650000</v>
      </c>
      <c r="L43" s="71">
        <v>40660000</v>
      </c>
    </row>
    <row r="44" spans="1:12" ht="10.199999999999999" x14ac:dyDescent="0.3">
      <c r="A44" s="50" t="s">
        <v>96</v>
      </c>
      <c r="B44" s="13" t="s">
        <v>12</v>
      </c>
      <c r="C44" s="14" t="s">
        <v>90</v>
      </c>
      <c r="D44" s="18" t="s">
        <v>94</v>
      </c>
      <c r="E44" s="18" t="s">
        <v>41</v>
      </c>
      <c r="F44" s="18" t="s">
        <v>25</v>
      </c>
      <c r="G44" s="18" t="s">
        <v>18</v>
      </c>
      <c r="H44" s="25" t="s">
        <v>95</v>
      </c>
      <c r="I44" s="18" t="s">
        <v>20</v>
      </c>
      <c r="J44" s="18" t="s">
        <v>21</v>
      </c>
      <c r="K44" s="76">
        <v>30600000</v>
      </c>
      <c r="L44" s="71">
        <v>45000000</v>
      </c>
    </row>
    <row r="45" spans="1:12" ht="10.199999999999999" x14ac:dyDescent="0.3">
      <c r="A45" s="59" t="s">
        <v>97</v>
      </c>
      <c r="B45" s="13" t="s">
        <v>12</v>
      </c>
      <c r="C45" s="14" t="s">
        <v>90</v>
      </c>
      <c r="D45" s="26" t="s">
        <v>98</v>
      </c>
      <c r="E45" s="26" t="s">
        <v>41</v>
      </c>
      <c r="F45" s="26" t="s">
        <v>25</v>
      </c>
      <c r="G45" s="26" t="s">
        <v>18</v>
      </c>
      <c r="H45" s="26" t="s">
        <v>19</v>
      </c>
      <c r="I45" s="26" t="s">
        <v>20</v>
      </c>
      <c r="J45" s="26" t="s">
        <v>21</v>
      </c>
      <c r="K45" s="76">
        <v>24440000</v>
      </c>
      <c r="L45" s="73">
        <v>35940000</v>
      </c>
    </row>
    <row r="46" spans="1:12" ht="10.199999999999999" x14ac:dyDescent="0.3">
      <c r="A46" s="60" t="s">
        <v>99</v>
      </c>
      <c r="B46" s="13" t="s">
        <v>12</v>
      </c>
      <c r="C46" s="16">
        <v>0.4506</v>
      </c>
      <c r="D46" s="18" t="s">
        <v>100</v>
      </c>
      <c r="E46" s="18" t="s">
        <v>16</v>
      </c>
      <c r="F46" s="18" t="s">
        <v>23</v>
      </c>
      <c r="G46" s="18" t="s">
        <v>18</v>
      </c>
      <c r="H46" s="25" t="s">
        <v>101</v>
      </c>
      <c r="I46" s="26" t="s">
        <v>30</v>
      </c>
      <c r="J46" s="18" t="s">
        <v>21</v>
      </c>
      <c r="K46" s="76">
        <v>18730000</v>
      </c>
      <c r="L46" s="71">
        <v>27550000</v>
      </c>
    </row>
    <row r="47" spans="1:12" ht="10.199999999999999" x14ac:dyDescent="0.3">
      <c r="A47" s="60" t="s">
        <v>102</v>
      </c>
      <c r="B47" s="13" t="s">
        <v>12</v>
      </c>
      <c r="C47" s="16">
        <v>0.4506</v>
      </c>
      <c r="D47" s="18" t="s">
        <v>100</v>
      </c>
      <c r="E47" s="18" t="s">
        <v>41</v>
      </c>
      <c r="F47" s="18" t="s">
        <v>25</v>
      </c>
      <c r="G47" s="18" t="s">
        <v>18</v>
      </c>
      <c r="H47" s="25" t="s">
        <v>101</v>
      </c>
      <c r="I47" s="26" t="s">
        <v>30</v>
      </c>
      <c r="J47" s="18" t="s">
        <v>21</v>
      </c>
      <c r="K47" s="76">
        <v>22200000</v>
      </c>
      <c r="L47" s="71">
        <v>32640000</v>
      </c>
    </row>
    <row r="48" spans="1:12" ht="10.199999999999999" x14ac:dyDescent="0.3">
      <c r="A48" s="60" t="s">
        <v>103</v>
      </c>
      <c r="B48" s="13" t="s">
        <v>12</v>
      </c>
      <c r="C48" s="16" t="s">
        <v>104</v>
      </c>
      <c r="D48" s="18" t="s">
        <v>100</v>
      </c>
      <c r="E48" s="18" t="s">
        <v>105</v>
      </c>
      <c r="F48" s="18" t="s">
        <v>25</v>
      </c>
      <c r="G48" s="18" t="s">
        <v>18</v>
      </c>
      <c r="H48" s="25" t="s">
        <v>101</v>
      </c>
      <c r="I48" s="26" t="s">
        <v>30</v>
      </c>
      <c r="J48" s="18" t="s">
        <v>21</v>
      </c>
      <c r="K48" s="76">
        <v>24510000</v>
      </c>
      <c r="L48" s="71">
        <v>36040000</v>
      </c>
    </row>
    <row r="49" spans="1:12" ht="10.199999999999999" x14ac:dyDescent="0.3">
      <c r="A49" s="54" t="s">
        <v>106</v>
      </c>
      <c r="B49" s="13" t="s">
        <v>12</v>
      </c>
      <c r="C49" s="14">
        <v>0.4481</v>
      </c>
      <c r="D49" s="18" t="s">
        <v>70</v>
      </c>
      <c r="E49" s="18" t="s">
        <v>41</v>
      </c>
      <c r="F49" s="18" t="s">
        <v>25</v>
      </c>
      <c r="G49" s="18" t="s">
        <v>18</v>
      </c>
      <c r="H49" s="25" t="s">
        <v>101</v>
      </c>
      <c r="I49" s="18" t="s">
        <v>52</v>
      </c>
      <c r="J49" s="18" t="s">
        <v>21</v>
      </c>
      <c r="K49" s="76">
        <v>23090000</v>
      </c>
      <c r="L49" s="71">
        <v>33960000</v>
      </c>
    </row>
    <row r="50" spans="1:12" ht="10.199999999999999" x14ac:dyDescent="0.3">
      <c r="A50" s="50" t="s">
        <v>107</v>
      </c>
      <c r="B50" s="13" t="s">
        <v>12</v>
      </c>
      <c r="C50" s="14">
        <v>0.44969999999999999</v>
      </c>
      <c r="D50" s="18" t="s">
        <v>108</v>
      </c>
      <c r="E50" s="18" t="s">
        <v>16</v>
      </c>
      <c r="F50" s="18" t="s">
        <v>23</v>
      </c>
      <c r="G50" s="18" t="s">
        <v>18</v>
      </c>
      <c r="H50" s="25" t="s">
        <v>101</v>
      </c>
      <c r="I50" s="18" t="s">
        <v>20</v>
      </c>
      <c r="J50" s="18" t="s">
        <v>21</v>
      </c>
      <c r="K50" s="72">
        <v>26230000</v>
      </c>
      <c r="L50" s="74">
        <v>38580000</v>
      </c>
    </row>
    <row r="51" spans="1:12" ht="10.199999999999999" x14ac:dyDescent="0.3">
      <c r="A51" s="50" t="s">
        <v>109</v>
      </c>
      <c r="B51" s="13" t="s">
        <v>12</v>
      </c>
      <c r="C51" s="14">
        <v>0.4481</v>
      </c>
      <c r="D51" s="18" t="s">
        <v>108</v>
      </c>
      <c r="E51" s="18" t="s">
        <v>41</v>
      </c>
      <c r="F51" s="18" t="s">
        <v>25</v>
      </c>
      <c r="G51" s="18" t="s">
        <v>18</v>
      </c>
      <c r="H51" s="25" t="s">
        <v>101</v>
      </c>
      <c r="I51" s="18" t="s">
        <v>20</v>
      </c>
      <c r="J51" s="18" t="s">
        <v>21</v>
      </c>
      <c r="K51" s="72">
        <v>29760000</v>
      </c>
      <c r="L51" s="74">
        <v>43770000</v>
      </c>
    </row>
    <row r="52" spans="1:12" ht="10.199999999999999" x14ac:dyDescent="0.3">
      <c r="A52" s="50" t="s">
        <v>110</v>
      </c>
      <c r="B52" s="13" t="s">
        <v>12</v>
      </c>
      <c r="C52" s="14" t="s">
        <v>111</v>
      </c>
      <c r="D52" s="18" t="s">
        <v>108</v>
      </c>
      <c r="E52" s="18" t="s">
        <v>105</v>
      </c>
      <c r="F52" s="18" t="s">
        <v>25</v>
      </c>
      <c r="G52" s="18" t="s">
        <v>18</v>
      </c>
      <c r="H52" s="25" t="s">
        <v>101</v>
      </c>
      <c r="I52" s="18" t="s">
        <v>20</v>
      </c>
      <c r="J52" s="18" t="s">
        <v>21</v>
      </c>
      <c r="K52" s="72">
        <v>32590000</v>
      </c>
      <c r="L52" s="74">
        <v>47920000</v>
      </c>
    </row>
    <row r="53" spans="1:12" ht="10.199999999999999" x14ac:dyDescent="0.3">
      <c r="A53" s="61" t="s">
        <v>112</v>
      </c>
      <c r="B53" s="13" t="s">
        <v>12</v>
      </c>
      <c r="C53" s="27">
        <v>0.4481</v>
      </c>
      <c r="D53" s="28" t="s">
        <v>113</v>
      </c>
      <c r="E53" s="28" t="s">
        <v>41</v>
      </c>
      <c r="F53" s="28" t="s">
        <v>25</v>
      </c>
      <c r="G53" s="29" t="s">
        <v>114</v>
      </c>
      <c r="H53" s="29" t="s">
        <v>19</v>
      </c>
      <c r="I53" s="28" t="s">
        <v>20</v>
      </c>
      <c r="J53" s="28" t="s">
        <v>21</v>
      </c>
      <c r="K53" s="72">
        <v>18540000</v>
      </c>
      <c r="L53" s="74">
        <v>27260000</v>
      </c>
    </row>
    <row r="54" spans="1:12" ht="10.199999999999999" x14ac:dyDescent="0.3">
      <c r="A54" s="61" t="s">
        <v>115</v>
      </c>
      <c r="B54" s="13" t="s">
        <v>12</v>
      </c>
      <c r="C54" s="27">
        <v>0.4481</v>
      </c>
      <c r="D54" s="28" t="s">
        <v>113</v>
      </c>
      <c r="E54" s="28" t="s">
        <v>105</v>
      </c>
      <c r="F54" s="28" t="s">
        <v>25</v>
      </c>
      <c r="G54" s="29" t="s">
        <v>114</v>
      </c>
      <c r="H54" s="29" t="s">
        <v>19</v>
      </c>
      <c r="I54" s="28" t="s">
        <v>20</v>
      </c>
      <c r="J54" s="28" t="s">
        <v>21</v>
      </c>
      <c r="K54" s="72">
        <v>21370000</v>
      </c>
      <c r="L54" s="74">
        <v>31420000</v>
      </c>
    </row>
    <row r="55" spans="1:12" ht="10.199999999999999" x14ac:dyDescent="0.3">
      <c r="A55" s="62" t="s">
        <v>116</v>
      </c>
      <c r="B55" s="13" t="s">
        <v>12</v>
      </c>
      <c r="C55" s="14" t="s">
        <v>117</v>
      </c>
      <c r="D55" s="30" t="s">
        <v>118</v>
      </c>
      <c r="E55" s="30" t="s">
        <v>41</v>
      </c>
      <c r="F55" s="30" t="s">
        <v>119</v>
      </c>
      <c r="G55" s="31" t="s">
        <v>18</v>
      </c>
      <c r="H55" s="31" t="s">
        <v>19</v>
      </c>
      <c r="I55" s="30" t="s">
        <v>20</v>
      </c>
      <c r="J55" s="30" t="s">
        <v>120</v>
      </c>
      <c r="K55" s="82">
        <v>10900000</v>
      </c>
      <c r="L55" s="74">
        <v>12500000</v>
      </c>
    </row>
    <row r="56" spans="1:12" ht="10.199999999999999" x14ac:dyDescent="0.3">
      <c r="A56" s="62" t="s">
        <v>121</v>
      </c>
      <c r="B56" s="13" t="s">
        <v>12</v>
      </c>
      <c r="C56" s="14" t="s">
        <v>117</v>
      </c>
      <c r="D56" s="30" t="s">
        <v>122</v>
      </c>
      <c r="E56" s="30" t="s">
        <v>16</v>
      </c>
      <c r="F56" s="30" t="s">
        <v>119</v>
      </c>
      <c r="G56" s="31" t="s">
        <v>18</v>
      </c>
      <c r="H56" s="31" t="s">
        <v>19</v>
      </c>
      <c r="I56" s="30" t="s">
        <v>20</v>
      </c>
      <c r="J56" s="30" t="s">
        <v>120</v>
      </c>
      <c r="K56" s="82">
        <v>7500000</v>
      </c>
      <c r="L56" s="74">
        <v>7950000</v>
      </c>
    </row>
    <row r="57" spans="1:12" ht="10.199999999999999" x14ac:dyDescent="0.3">
      <c r="A57" s="62" t="s">
        <v>123</v>
      </c>
      <c r="B57" s="13" t="s">
        <v>12</v>
      </c>
      <c r="C57" s="14" t="s">
        <v>117</v>
      </c>
      <c r="D57" s="30" t="s">
        <v>118</v>
      </c>
      <c r="E57" s="30" t="s">
        <v>41</v>
      </c>
      <c r="F57" s="30" t="s">
        <v>124</v>
      </c>
      <c r="G57" s="31" t="s">
        <v>18</v>
      </c>
      <c r="H57" s="31" t="s">
        <v>19</v>
      </c>
      <c r="I57" s="30" t="s">
        <v>20</v>
      </c>
      <c r="J57" s="30" t="s">
        <v>120</v>
      </c>
      <c r="K57" s="82">
        <v>11650000</v>
      </c>
      <c r="L57" s="83">
        <v>14600000</v>
      </c>
    </row>
    <row r="58" spans="1:12" ht="10.199999999999999" x14ac:dyDescent="0.3">
      <c r="A58" s="62" t="s">
        <v>125</v>
      </c>
      <c r="B58" s="13" t="s">
        <v>12</v>
      </c>
      <c r="C58" s="14" t="s">
        <v>117</v>
      </c>
      <c r="D58" s="30" t="s">
        <v>118</v>
      </c>
      <c r="E58" s="30" t="s">
        <v>41</v>
      </c>
      <c r="F58" s="30" t="s">
        <v>126</v>
      </c>
      <c r="G58" s="31" t="s">
        <v>18</v>
      </c>
      <c r="H58" s="31" t="s">
        <v>19</v>
      </c>
      <c r="I58" s="30" t="s">
        <v>20</v>
      </c>
      <c r="J58" s="30" t="s">
        <v>120</v>
      </c>
      <c r="K58" s="82">
        <v>12250000</v>
      </c>
      <c r="L58" s="83">
        <v>15300000</v>
      </c>
    </row>
    <row r="59" spans="1:12" ht="10.199999999999999" x14ac:dyDescent="0.3">
      <c r="A59" s="62" t="s">
        <v>127</v>
      </c>
      <c r="B59" s="13" t="s">
        <v>12</v>
      </c>
      <c r="C59" s="14" t="s">
        <v>117</v>
      </c>
      <c r="D59" s="30" t="s">
        <v>122</v>
      </c>
      <c r="E59" s="30" t="s">
        <v>16</v>
      </c>
      <c r="F59" s="30" t="s">
        <v>124</v>
      </c>
      <c r="G59" s="31" t="s">
        <v>18</v>
      </c>
      <c r="H59" s="31" t="s">
        <v>19</v>
      </c>
      <c r="I59" s="30" t="s">
        <v>20</v>
      </c>
      <c r="J59" s="30" t="s">
        <v>120</v>
      </c>
      <c r="K59" s="82">
        <v>8000000</v>
      </c>
      <c r="L59" s="83">
        <v>10500000</v>
      </c>
    </row>
    <row r="60" spans="1:12" ht="10.199999999999999" x14ac:dyDescent="0.3">
      <c r="A60" s="62" t="s">
        <v>128</v>
      </c>
      <c r="B60" s="13" t="s">
        <v>12</v>
      </c>
      <c r="C60" s="14" t="s">
        <v>117</v>
      </c>
      <c r="D60" s="30" t="s">
        <v>122</v>
      </c>
      <c r="E60" s="30" t="s">
        <v>16</v>
      </c>
      <c r="F60" s="30" t="s">
        <v>126</v>
      </c>
      <c r="G60" s="31" t="s">
        <v>18</v>
      </c>
      <c r="H60" s="31" t="s">
        <v>19</v>
      </c>
      <c r="I60" s="30" t="s">
        <v>20</v>
      </c>
      <c r="J60" s="30" t="s">
        <v>120</v>
      </c>
      <c r="K60" s="82">
        <v>8600000</v>
      </c>
      <c r="L60" s="83">
        <v>11200000</v>
      </c>
    </row>
    <row r="61" spans="1:12" ht="10.199999999999999" x14ac:dyDescent="0.3">
      <c r="A61" s="62" t="s">
        <v>129</v>
      </c>
      <c r="B61" s="13" t="s">
        <v>12</v>
      </c>
      <c r="C61" s="14" t="s">
        <v>117</v>
      </c>
      <c r="D61" s="30" t="s">
        <v>122</v>
      </c>
      <c r="E61" s="30" t="s">
        <v>41</v>
      </c>
      <c r="F61" s="30" t="s">
        <v>124</v>
      </c>
      <c r="G61" s="31" t="s">
        <v>18</v>
      </c>
      <c r="H61" s="31" t="s">
        <v>19</v>
      </c>
      <c r="I61" s="30" t="s">
        <v>20</v>
      </c>
      <c r="J61" s="30" t="s">
        <v>120</v>
      </c>
      <c r="K61" s="82">
        <v>8400000</v>
      </c>
      <c r="L61" s="83">
        <v>11000000</v>
      </c>
    </row>
    <row r="62" spans="1:12" ht="10.199999999999999" x14ac:dyDescent="0.3">
      <c r="A62" s="62" t="s">
        <v>130</v>
      </c>
      <c r="B62" s="13" t="s">
        <v>12</v>
      </c>
      <c r="C62" s="14" t="s">
        <v>117</v>
      </c>
      <c r="D62" s="30" t="s">
        <v>122</v>
      </c>
      <c r="E62" s="30" t="s">
        <v>41</v>
      </c>
      <c r="F62" s="30" t="s">
        <v>126</v>
      </c>
      <c r="G62" s="31" t="s">
        <v>18</v>
      </c>
      <c r="H62" s="31" t="s">
        <v>19</v>
      </c>
      <c r="I62" s="30" t="s">
        <v>20</v>
      </c>
      <c r="J62" s="30" t="s">
        <v>120</v>
      </c>
      <c r="K62" s="82">
        <v>8900000</v>
      </c>
      <c r="L62" s="83">
        <v>11600000</v>
      </c>
    </row>
    <row r="63" spans="1:12" s="42" customFormat="1" ht="10.199999999999999" x14ac:dyDescent="0.3">
      <c r="A63" s="50" t="s">
        <v>131</v>
      </c>
      <c r="B63" s="19" t="s">
        <v>182</v>
      </c>
      <c r="C63" s="14" t="s">
        <v>132</v>
      </c>
      <c r="D63" s="18" t="s">
        <v>133</v>
      </c>
      <c r="E63" s="18" t="s">
        <v>41</v>
      </c>
      <c r="F63" s="18" t="s">
        <v>25</v>
      </c>
      <c r="G63" s="18" t="s">
        <v>134</v>
      </c>
      <c r="H63" s="18" t="s">
        <v>19</v>
      </c>
      <c r="I63" s="18" t="s">
        <v>20</v>
      </c>
      <c r="J63" s="18" t="s">
        <v>21</v>
      </c>
      <c r="K63" s="76">
        <v>15330000</v>
      </c>
      <c r="L63" s="71">
        <v>22550000</v>
      </c>
    </row>
    <row r="64" spans="1:12" s="42" customFormat="1" ht="10.199999999999999" x14ac:dyDescent="0.3">
      <c r="A64" s="50" t="s">
        <v>135</v>
      </c>
      <c r="B64" s="19" t="s">
        <v>182</v>
      </c>
      <c r="C64" s="14" t="s">
        <v>136</v>
      </c>
      <c r="D64" s="18" t="s">
        <v>137</v>
      </c>
      <c r="E64" s="18" t="s">
        <v>16</v>
      </c>
      <c r="F64" s="18" t="s">
        <v>17</v>
      </c>
      <c r="G64" s="18" t="s">
        <v>134</v>
      </c>
      <c r="H64" s="18" t="s">
        <v>19</v>
      </c>
      <c r="I64" s="18" t="s">
        <v>20</v>
      </c>
      <c r="J64" s="18" t="s">
        <v>21</v>
      </c>
      <c r="K64" s="76">
        <v>8530000</v>
      </c>
      <c r="L64" s="84">
        <v>12550000</v>
      </c>
    </row>
    <row r="65" spans="1:12" s="42" customFormat="1" ht="10.199999999999999" x14ac:dyDescent="0.3">
      <c r="A65" s="50" t="s">
        <v>138</v>
      </c>
      <c r="B65" s="19" t="s">
        <v>182</v>
      </c>
      <c r="C65" s="14" t="s">
        <v>139</v>
      </c>
      <c r="D65" s="18" t="s">
        <v>137</v>
      </c>
      <c r="E65" s="18" t="s">
        <v>16</v>
      </c>
      <c r="F65" s="18" t="s">
        <v>23</v>
      </c>
      <c r="G65" s="18" t="s">
        <v>134</v>
      </c>
      <c r="H65" s="18" t="s">
        <v>19</v>
      </c>
      <c r="I65" s="18" t="s">
        <v>20</v>
      </c>
      <c r="J65" s="18" t="s">
        <v>21</v>
      </c>
      <c r="K65" s="76">
        <v>9810000</v>
      </c>
      <c r="L65" s="73">
        <v>14430000</v>
      </c>
    </row>
    <row r="66" spans="1:12" s="42" customFormat="1" ht="10.199999999999999" x14ac:dyDescent="0.3">
      <c r="A66" s="50" t="s">
        <v>140</v>
      </c>
      <c r="B66" s="19" t="s">
        <v>182</v>
      </c>
      <c r="C66" s="14" t="s">
        <v>141</v>
      </c>
      <c r="D66" s="18" t="s">
        <v>137</v>
      </c>
      <c r="E66" s="18" t="s">
        <v>16</v>
      </c>
      <c r="F66" s="18" t="s">
        <v>25</v>
      </c>
      <c r="G66" s="18" t="s">
        <v>134</v>
      </c>
      <c r="H66" s="18" t="s">
        <v>19</v>
      </c>
      <c r="I66" s="18" t="s">
        <v>20</v>
      </c>
      <c r="J66" s="18" t="s">
        <v>21</v>
      </c>
      <c r="K66" s="76">
        <v>12440000</v>
      </c>
      <c r="L66" s="75">
        <v>18300000</v>
      </c>
    </row>
    <row r="67" spans="1:12" s="42" customFormat="1" ht="10.199999999999999" x14ac:dyDescent="0.3">
      <c r="A67" s="60" t="s">
        <v>142</v>
      </c>
      <c r="B67" s="19" t="s">
        <v>182</v>
      </c>
      <c r="C67" s="16" t="s">
        <v>143</v>
      </c>
      <c r="D67" s="18" t="s">
        <v>50</v>
      </c>
      <c r="E67" s="18" t="s">
        <v>16</v>
      </c>
      <c r="F67" s="18" t="s">
        <v>51</v>
      </c>
      <c r="G67" s="18" t="s">
        <v>134</v>
      </c>
      <c r="H67" s="18" t="s">
        <v>19</v>
      </c>
      <c r="I67" s="18" t="s">
        <v>52</v>
      </c>
      <c r="J67" s="18" t="s">
        <v>21</v>
      </c>
      <c r="K67" s="76">
        <f>ROUNDUP(8080000*120%,-4)</f>
        <v>9700000</v>
      </c>
      <c r="L67" s="69">
        <f>ROUNDUP(12050000*120%,-4)</f>
        <v>14460000</v>
      </c>
    </row>
    <row r="68" spans="1:12" s="42" customFormat="1" ht="10.199999999999999" x14ac:dyDescent="0.3">
      <c r="A68" s="60" t="s">
        <v>144</v>
      </c>
      <c r="B68" s="19" t="s">
        <v>182</v>
      </c>
      <c r="C68" s="16" t="s">
        <v>143</v>
      </c>
      <c r="D68" s="18" t="s">
        <v>50</v>
      </c>
      <c r="E68" s="18" t="s">
        <v>16</v>
      </c>
      <c r="F68" s="18" t="s">
        <v>145</v>
      </c>
      <c r="G68" s="18" t="s">
        <v>134</v>
      </c>
      <c r="H68" s="18" t="s">
        <v>19</v>
      </c>
      <c r="I68" s="18" t="s">
        <v>52</v>
      </c>
      <c r="J68" s="18" t="s">
        <v>21</v>
      </c>
      <c r="K68" s="76">
        <v>10300000</v>
      </c>
      <c r="L68" s="69">
        <v>15050000</v>
      </c>
    </row>
    <row r="69" spans="1:12" s="42" customFormat="1" ht="10.199999999999999" x14ac:dyDescent="0.3">
      <c r="A69" s="60" t="s">
        <v>146</v>
      </c>
      <c r="B69" s="19" t="s">
        <v>182</v>
      </c>
      <c r="C69" s="16">
        <v>0.4556</v>
      </c>
      <c r="D69" s="18" t="s">
        <v>54</v>
      </c>
      <c r="E69" s="18" t="s">
        <v>41</v>
      </c>
      <c r="F69" s="18" t="s">
        <v>23</v>
      </c>
      <c r="G69" s="18" t="s">
        <v>147</v>
      </c>
      <c r="H69" s="18" t="s">
        <v>19</v>
      </c>
      <c r="I69" s="18" t="s">
        <v>20</v>
      </c>
      <c r="J69" s="18" t="s">
        <v>21</v>
      </c>
      <c r="K69" s="68">
        <v>11040000</v>
      </c>
      <c r="L69" s="69">
        <v>16230000</v>
      </c>
    </row>
    <row r="70" spans="1:12" s="42" customFormat="1" ht="10.199999999999999" x14ac:dyDescent="0.3">
      <c r="A70" s="60" t="s">
        <v>148</v>
      </c>
      <c r="B70" s="19" t="s">
        <v>182</v>
      </c>
      <c r="C70" s="16">
        <v>0.45850000000000002</v>
      </c>
      <c r="D70" s="18" t="s">
        <v>149</v>
      </c>
      <c r="E70" s="18" t="s">
        <v>16</v>
      </c>
      <c r="F70" s="18" t="s">
        <v>17</v>
      </c>
      <c r="G70" s="18" t="s">
        <v>147</v>
      </c>
      <c r="H70" s="18" t="s">
        <v>19</v>
      </c>
      <c r="I70" s="18" t="s">
        <v>20</v>
      </c>
      <c r="J70" s="18" t="s">
        <v>21</v>
      </c>
      <c r="K70" s="85">
        <v>10970000</v>
      </c>
      <c r="L70" s="86">
        <v>16130000</v>
      </c>
    </row>
    <row r="71" spans="1:12" s="42" customFormat="1" ht="10.199999999999999" x14ac:dyDescent="0.3">
      <c r="A71" s="60" t="s">
        <v>150</v>
      </c>
      <c r="B71" s="19" t="s">
        <v>182</v>
      </c>
      <c r="C71" s="16">
        <v>0.45939999999999998</v>
      </c>
      <c r="D71" s="18" t="s">
        <v>149</v>
      </c>
      <c r="E71" s="18" t="s">
        <v>16</v>
      </c>
      <c r="F71" s="18" t="s">
        <v>23</v>
      </c>
      <c r="G71" s="18" t="s">
        <v>147</v>
      </c>
      <c r="H71" s="18" t="s">
        <v>19</v>
      </c>
      <c r="I71" s="18" t="s">
        <v>20</v>
      </c>
      <c r="J71" s="18" t="s">
        <v>21</v>
      </c>
      <c r="K71" s="85">
        <v>12830000</v>
      </c>
      <c r="L71" s="86">
        <v>18870000</v>
      </c>
    </row>
    <row r="72" spans="1:12" s="42" customFormat="1" ht="10.199999999999999" x14ac:dyDescent="0.3">
      <c r="A72" s="60" t="s">
        <v>151</v>
      </c>
      <c r="B72" s="19" t="s">
        <v>182</v>
      </c>
      <c r="C72" s="16">
        <v>0.4556</v>
      </c>
      <c r="D72" s="18" t="s">
        <v>149</v>
      </c>
      <c r="E72" s="18" t="s">
        <v>41</v>
      </c>
      <c r="F72" s="18" t="s">
        <v>23</v>
      </c>
      <c r="G72" s="18" t="s">
        <v>147</v>
      </c>
      <c r="H72" s="18" t="s">
        <v>19</v>
      </c>
      <c r="I72" s="18" t="s">
        <v>20</v>
      </c>
      <c r="J72" s="18" t="s">
        <v>21</v>
      </c>
      <c r="K72" s="85">
        <v>14050000</v>
      </c>
      <c r="L72" s="86">
        <v>20660000</v>
      </c>
    </row>
    <row r="73" spans="1:12" s="42" customFormat="1" ht="10.199999999999999" x14ac:dyDescent="0.3">
      <c r="A73" s="60" t="s">
        <v>152</v>
      </c>
      <c r="B73" s="19" t="s">
        <v>182</v>
      </c>
      <c r="C73" s="32">
        <v>0.45700000000000002</v>
      </c>
      <c r="D73" s="18" t="s">
        <v>149</v>
      </c>
      <c r="E73" s="18" t="s">
        <v>41</v>
      </c>
      <c r="F73" s="18" t="s">
        <v>25</v>
      </c>
      <c r="G73" s="18" t="s">
        <v>147</v>
      </c>
      <c r="H73" s="18" t="s">
        <v>19</v>
      </c>
      <c r="I73" s="18" t="s">
        <v>20</v>
      </c>
      <c r="J73" s="18" t="s">
        <v>21</v>
      </c>
      <c r="K73" s="85">
        <v>16360000</v>
      </c>
      <c r="L73" s="86">
        <v>24060000</v>
      </c>
    </row>
    <row r="74" spans="1:12" ht="10.199999999999999" x14ac:dyDescent="0.3">
      <c r="A74" s="63" t="s">
        <v>154</v>
      </c>
      <c r="B74" s="19" t="s">
        <v>182</v>
      </c>
      <c r="C74" s="14">
        <v>0.4551</v>
      </c>
      <c r="D74" s="15" t="s">
        <v>153</v>
      </c>
      <c r="E74" s="15" t="s">
        <v>16</v>
      </c>
      <c r="F74" s="15" t="s">
        <v>23</v>
      </c>
      <c r="G74" s="15" t="s">
        <v>147</v>
      </c>
      <c r="H74" s="15" t="s">
        <v>19</v>
      </c>
      <c r="I74" s="15" t="s">
        <v>20</v>
      </c>
      <c r="J74" s="15" t="s">
        <v>21</v>
      </c>
      <c r="K74" s="68">
        <v>15200000</v>
      </c>
      <c r="L74" s="69">
        <v>22360000</v>
      </c>
    </row>
    <row r="75" spans="1:12" ht="10.199999999999999" x14ac:dyDescent="0.3">
      <c r="A75" s="63" t="s">
        <v>155</v>
      </c>
      <c r="B75" s="19" t="s">
        <v>182</v>
      </c>
      <c r="C75" s="14">
        <v>0.45450000000000002</v>
      </c>
      <c r="D75" s="15" t="s">
        <v>153</v>
      </c>
      <c r="E75" s="15" t="s">
        <v>41</v>
      </c>
      <c r="F75" s="15" t="s">
        <v>23</v>
      </c>
      <c r="G75" s="15" t="s">
        <v>147</v>
      </c>
      <c r="H75" s="15" t="s">
        <v>19</v>
      </c>
      <c r="I75" s="15" t="s">
        <v>20</v>
      </c>
      <c r="J75" s="15" t="s">
        <v>21</v>
      </c>
      <c r="K75" s="68">
        <v>16290000</v>
      </c>
      <c r="L75" s="69">
        <v>23960000</v>
      </c>
    </row>
    <row r="76" spans="1:12" ht="10.199999999999999" x14ac:dyDescent="0.3">
      <c r="A76" s="63" t="s">
        <v>156</v>
      </c>
      <c r="B76" s="19" t="s">
        <v>182</v>
      </c>
      <c r="C76" s="14">
        <v>0.45269999999999999</v>
      </c>
      <c r="D76" s="15" t="s">
        <v>153</v>
      </c>
      <c r="E76" s="15" t="s">
        <v>41</v>
      </c>
      <c r="F76" s="15" t="s">
        <v>25</v>
      </c>
      <c r="G76" s="15" t="s">
        <v>147</v>
      </c>
      <c r="H76" s="15" t="s">
        <v>19</v>
      </c>
      <c r="I76" s="15" t="s">
        <v>20</v>
      </c>
      <c r="J76" s="15" t="s">
        <v>21</v>
      </c>
      <c r="K76" s="68">
        <v>18800000</v>
      </c>
      <c r="L76" s="69">
        <v>27640000</v>
      </c>
    </row>
    <row r="77" spans="1:12" ht="10.199999999999999" x14ac:dyDescent="0.3">
      <c r="A77" s="63" t="s">
        <v>157</v>
      </c>
      <c r="B77" s="19" t="s">
        <v>182</v>
      </c>
      <c r="C77" s="14" t="s">
        <v>143</v>
      </c>
      <c r="D77" s="15" t="s">
        <v>70</v>
      </c>
      <c r="E77" s="15" t="s">
        <v>16</v>
      </c>
      <c r="F77" s="15" t="s">
        <v>17</v>
      </c>
      <c r="G77" s="15" t="s">
        <v>147</v>
      </c>
      <c r="H77" s="15" t="s">
        <v>19</v>
      </c>
      <c r="I77" s="15" t="s">
        <v>30</v>
      </c>
      <c r="J77" s="15" t="s">
        <v>21</v>
      </c>
      <c r="K77" s="68">
        <v>14050000</v>
      </c>
      <c r="L77" s="69">
        <v>20660000</v>
      </c>
    </row>
    <row r="78" spans="1:12" ht="10.199999999999999" x14ac:dyDescent="0.3">
      <c r="A78" s="48" t="s">
        <v>158</v>
      </c>
      <c r="B78" s="19" t="s">
        <v>182</v>
      </c>
      <c r="C78" s="33">
        <v>0.45429999999999998</v>
      </c>
      <c r="D78" s="18" t="s">
        <v>70</v>
      </c>
      <c r="E78" s="18" t="s">
        <v>16</v>
      </c>
      <c r="F78" s="18" t="s">
        <v>23</v>
      </c>
      <c r="G78" s="18" t="s">
        <v>147</v>
      </c>
      <c r="H78" s="18" t="s">
        <v>19</v>
      </c>
      <c r="I78" s="26" t="s">
        <v>30</v>
      </c>
      <c r="J78" s="18" t="s">
        <v>21</v>
      </c>
      <c r="K78" s="76">
        <v>15010000</v>
      </c>
      <c r="L78" s="73">
        <v>22080000</v>
      </c>
    </row>
    <row r="79" spans="1:12" ht="10.199999999999999" x14ac:dyDescent="0.3">
      <c r="A79" s="48" t="s">
        <v>159</v>
      </c>
      <c r="B79" s="19" t="s">
        <v>182</v>
      </c>
      <c r="C79" s="14" t="s">
        <v>143</v>
      </c>
      <c r="D79" s="18" t="s">
        <v>70</v>
      </c>
      <c r="E79" s="18" t="s">
        <v>41</v>
      </c>
      <c r="F79" s="18" t="s">
        <v>25</v>
      </c>
      <c r="G79" s="18" t="s">
        <v>147</v>
      </c>
      <c r="H79" s="18" t="s">
        <v>19</v>
      </c>
      <c r="I79" s="15" t="s">
        <v>30</v>
      </c>
      <c r="J79" s="18" t="s">
        <v>21</v>
      </c>
      <c r="K79" s="76">
        <v>16360000</v>
      </c>
      <c r="L79" s="71">
        <v>24060000</v>
      </c>
    </row>
    <row r="80" spans="1:12" ht="10.199999999999999" x14ac:dyDescent="0.3">
      <c r="A80" s="48" t="s">
        <v>160</v>
      </c>
      <c r="B80" s="19" t="s">
        <v>182</v>
      </c>
      <c r="C80" s="14">
        <v>0.4521</v>
      </c>
      <c r="D80" s="18" t="s">
        <v>72</v>
      </c>
      <c r="E80" s="18" t="s">
        <v>41</v>
      </c>
      <c r="F80" s="18" t="s">
        <v>25</v>
      </c>
      <c r="G80" s="18" t="s">
        <v>147</v>
      </c>
      <c r="H80" s="18" t="s">
        <v>19</v>
      </c>
      <c r="I80" s="15" t="s">
        <v>30</v>
      </c>
      <c r="J80" s="18" t="s">
        <v>21</v>
      </c>
      <c r="K80" s="76">
        <v>18540000</v>
      </c>
      <c r="L80" s="71">
        <v>27260000</v>
      </c>
    </row>
    <row r="81" spans="1:12" ht="10.199999999999999" x14ac:dyDescent="0.3">
      <c r="A81" s="63" t="s">
        <v>161</v>
      </c>
      <c r="B81" s="19" t="s">
        <v>182</v>
      </c>
      <c r="C81" s="14">
        <v>0.45429999999999998</v>
      </c>
      <c r="D81" s="15" t="s">
        <v>162</v>
      </c>
      <c r="E81" s="15" t="s">
        <v>16</v>
      </c>
      <c r="F81" s="15" t="s">
        <v>23</v>
      </c>
      <c r="G81" s="15" t="s">
        <v>147</v>
      </c>
      <c r="H81" s="15" t="s">
        <v>19</v>
      </c>
      <c r="I81" s="15" t="s">
        <v>20</v>
      </c>
      <c r="J81" s="15" t="s">
        <v>21</v>
      </c>
      <c r="K81" s="68">
        <v>15780000</v>
      </c>
      <c r="L81" s="69">
        <v>23210000</v>
      </c>
    </row>
    <row r="82" spans="1:12" ht="10.199999999999999" x14ac:dyDescent="0.3">
      <c r="A82" s="63" t="s">
        <v>163</v>
      </c>
      <c r="B82" s="19" t="s">
        <v>182</v>
      </c>
      <c r="C82" s="14">
        <v>0.45250000000000001</v>
      </c>
      <c r="D82" s="15" t="s">
        <v>162</v>
      </c>
      <c r="E82" s="15" t="s">
        <v>16</v>
      </c>
      <c r="F82" s="15" t="s">
        <v>25</v>
      </c>
      <c r="G82" s="15" t="s">
        <v>147</v>
      </c>
      <c r="H82" s="15" t="s">
        <v>19</v>
      </c>
      <c r="I82" s="15" t="s">
        <v>20</v>
      </c>
      <c r="J82" s="15" t="s">
        <v>21</v>
      </c>
      <c r="K82" s="68">
        <v>17970000</v>
      </c>
      <c r="L82" s="69">
        <v>26420000</v>
      </c>
    </row>
    <row r="83" spans="1:12" ht="10.199999999999999" x14ac:dyDescent="0.3">
      <c r="A83" s="63" t="s">
        <v>164</v>
      </c>
      <c r="B83" s="19" t="s">
        <v>182</v>
      </c>
      <c r="C83" s="14">
        <v>0.45429999999999998</v>
      </c>
      <c r="D83" s="15" t="s">
        <v>165</v>
      </c>
      <c r="E83" s="15" t="s">
        <v>16</v>
      </c>
      <c r="F83" s="15" t="s">
        <v>23</v>
      </c>
      <c r="G83" s="15" t="s">
        <v>147</v>
      </c>
      <c r="H83" s="15" t="s">
        <v>19</v>
      </c>
      <c r="I83" s="15" t="s">
        <v>20</v>
      </c>
      <c r="J83" s="15" t="s">
        <v>21</v>
      </c>
      <c r="K83" s="68">
        <v>16940000</v>
      </c>
      <c r="L83" s="69">
        <v>24910000</v>
      </c>
    </row>
    <row r="84" spans="1:12" ht="10.199999999999999" x14ac:dyDescent="0.3">
      <c r="A84" s="63" t="s">
        <v>166</v>
      </c>
      <c r="B84" s="19" t="s">
        <v>182</v>
      </c>
      <c r="C84" s="14">
        <v>0.45250000000000001</v>
      </c>
      <c r="D84" s="15" t="s">
        <v>165</v>
      </c>
      <c r="E84" s="15" t="s">
        <v>16</v>
      </c>
      <c r="F84" s="15" t="s">
        <v>25</v>
      </c>
      <c r="G84" s="15" t="s">
        <v>147</v>
      </c>
      <c r="H84" s="15" t="s">
        <v>19</v>
      </c>
      <c r="I84" s="15" t="s">
        <v>20</v>
      </c>
      <c r="J84" s="15" t="s">
        <v>21</v>
      </c>
      <c r="K84" s="68">
        <v>19240000</v>
      </c>
      <c r="L84" s="69">
        <v>28300000</v>
      </c>
    </row>
    <row r="85" spans="1:12" ht="10.199999999999999" x14ac:dyDescent="0.3">
      <c r="A85" s="63" t="s">
        <v>167</v>
      </c>
      <c r="B85" s="19" t="s">
        <v>182</v>
      </c>
      <c r="C85" s="14">
        <v>0.4521</v>
      </c>
      <c r="D85" s="15" t="s">
        <v>165</v>
      </c>
      <c r="E85" s="15" t="s">
        <v>41</v>
      </c>
      <c r="F85" s="15" t="s">
        <v>25</v>
      </c>
      <c r="G85" s="15" t="s">
        <v>147</v>
      </c>
      <c r="H85" s="15" t="s">
        <v>19</v>
      </c>
      <c r="I85" s="15" t="s">
        <v>20</v>
      </c>
      <c r="J85" s="15" t="s">
        <v>21</v>
      </c>
      <c r="K85" s="68">
        <v>20460000</v>
      </c>
      <c r="L85" s="69">
        <v>30090000</v>
      </c>
    </row>
    <row r="86" spans="1:12" ht="20.399999999999999" x14ac:dyDescent="0.3">
      <c r="A86" s="54" t="s">
        <v>168</v>
      </c>
      <c r="B86" s="19" t="s">
        <v>182</v>
      </c>
      <c r="C86" s="14">
        <v>0.4521</v>
      </c>
      <c r="D86" s="18" t="s">
        <v>169</v>
      </c>
      <c r="E86" s="18" t="s">
        <v>41</v>
      </c>
      <c r="F86" s="18" t="s">
        <v>25</v>
      </c>
      <c r="G86" s="18" t="s">
        <v>147</v>
      </c>
      <c r="H86" s="18" t="s">
        <v>170</v>
      </c>
      <c r="I86" s="18" t="s">
        <v>20</v>
      </c>
      <c r="J86" s="18" t="s">
        <v>21</v>
      </c>
      <c r="K86" s="72">
        <v>23740000</v>
      </c>
      <c r="L86" s="71">
        <v>34910000</v>
      </c>
    </row>
    <row r="87" spans="1:12" ht="20.399999999999999" x14ac:dyDescent="0.3">
      <c r="A87" s="54" t="s">
        <v>171</v>
      </c>
      <c r="B87" s="19" t="s">
        <v>182</v>
      </c>
      <c r="C87" s="14">
        <v>0.4521</v>
      </c>
      <c r="D87" s="18" t="s">
        <v>169</v>
      </c>
      <c r="E87" s="18" t="s">
        <v>41</v>
      </c>
      <c r="F87" s="18" t="s">
        <v>25</v>
      </c>
      <c r="G87" s="18" t="s">
        <v>147</v>
      </c>
      <c r="H87" s="18" t="s">
        <v>172</v>
      </c>
      <c r="I87" s="18" t="s">
        <v>20</v>
      </c>
      <c r="J87" s="18" t="s">
        <v>21</v>
      </c>
      <c r="K87" s="72">
        <v>24380000</v>
      </c>
      <c r="L87" s="71">
        <v>35850000</v>
      </c>
    </row>
    <row r="88" spans="1:12" ht="20.399999999999999" x14ac:dyDescent="0.3">
      <c r="A88" s="54" t="s">
        <v>173</v>
      </c>
      <c r="B88" s="19" t="s">
        <v>182</v>
      </c>
      <c r="C88" s="14" t="s">
        <v>174</v>
      </c>
      <c r="D88" s="18" t="s">
        <v>169</v>
      </c>
      <c r="E88" s="18" t="s">
        <v>105</v>
      </c>
      <c r="F88" s="18" t="s">
        <v>25</v>
      </c>
      <c r="G88" s="18" t="s">
        <v>147</v>
      </c>
      <c r="H88" s="18" t="s">
        <v>172</v>
      </c>
      <c r="I88" s="18" t="s">
        <v>20</v>
      </c>
      <c r="J88" s="18" t="s">
        <v>21</v>
      </c>
      <c r="K88" s="72">
        <v>25600000</v>
      </c>
      <c r="L88" s="71">
        <v>37640000</v>
      </c>
    </row>
    <row r="89" spans="1:12" ht="10.199999999999999" x14ac:dyDescent="0.3">
      <c r="A89" s="50" t="s">
        <v>175</v>
      </c>
      <c r="B89" s="19" t="s">
        <v>182</v>
      </c>
      <c r="C89" s="14">
        <v>0.4521</v>
      </c>
      <c r="D89" s="18" t="s">
        <v>79</v>
      </c>
      <c r="E89" s="18" t="s">
        <v>41</v>
      </c>
      <c r="F89" s="18" t="s">
        <v>25</v>
      </c>
      <c r="G89" s="18" t="s">
        <v>176</v>
      </c>
      <c r="H89" s="18" t="s">
        <v>19</v>
      </c>
      <c r="I89" s="18" t="s">
        <v>20</v>
      </c>
      <c r="J89" s="18" t="s">
        <v>21</v>
      </c>
      <c r="K89" s="76">
        <v>23030000</v>
      </c>
      <c r="L89" s="71">
        <v>33870000</v>
      </c>
    </row>
    <row r="90" spans="1:12" ht="10.199999999999999" x14ac:dyDescent="0.3">
      <c r="A90" s="50" t="s">
        <v>177</v>
      </c>
      <c r="B90" s="19" t="s">
        <v>182</v>
      </c>
      <c r="C90" s="14" t="s">
        <v>143</v>
      </c>
      <c r="D90" s="18" t="s">
        <v>79</v>
      </c>
      <c r="E90" s="18" t="s">
        <v>105</v>
      </c>
      <c r="F90" s="18" t="s">
        <v>25</v>
      </c>
      <c r="G90" s="18" t="s">
        <v>176</v>
      </c>
      <c r="H90" s="18" t="s">
        <v>19</v>
      </c>
      <c r="I90" s="18" t="s">
        <v>20</v>
      </c>
      <c r="J90" s="18" t="s">
        <v>21</v>
      </c>
      <c r="K90" s="76">
        <v>25340000</v>
      </c>
      <c r="L90" s="71">
        <v>37260000</v>
      </c>
    </row>
    <row r="91" spans="1:12" ht="10.199999999999999" x14ac:dyDescent="0.3">
      <c r="A91" s="46" t="s">
        <v>179</v>
      </c>
      <c r="B91" s="19" t="s">
        <v>182</v>
      </c>
      <c r="C91" s="14">
        <v>0.45429999999999998</v>
      </c>
      <c r="D91" s="15" t="s">
        <v>162</v>
      </c>
      <c r="E91" s="15" t="s">
        <v>41</v>
      </c>
      <c r="F91" s="15" t="s">
        <v>23</v>
      </c>
      <c r="G91" s="15" t="s">
        <v>178</v>
      </c>
      <c r="H91" s="15" t="s">
        <v>19</v>
      </c>
      <c r="I91" s="15" t="s">
        <v>20</v>
      </c>
      <c r="J91" s="15" t="s">
        <v>21</v>
      </c>
      <c r="K91" s="87">
        <v>20080000</v>
      </c>
      <c r="L91" s="88">
        <v>29530000</v>
      </c>
    </row>
    <row r="92" spans="1:12" ht="10.8" thickBot="1" x14ac:dyDescent="0.35">
      <c r="A92" s="64" t="s">
        <v>180</v>
      </c>
      <c r="B92" s="65" t="s">
        <v>182</v>
      </c>
      <c r="C92" s="66">
        <v>0.4521</v>
      </c>
      <c r="D92" s="67" t="s">
        <v>162</v>
      </c>
      <c r="E92" s="67" t="s">
        <v>41</v>
      </c>
      <c r="F92" s="67" t="s">
        <v>25</v>
      </c>
      <c r="G92" s="67" t="s">
        <v>178</v>
      </c>
      <c r="H92" s="67" t="s">
        <v>19</v>
      </c>
      <c r="I92" s="67" t="s">
        <v>20</v>
      </c>
      <c r="J92" s="67" t="s">
        <v>21</v>
      </c>
      <c r="K92" s="89">
        <v>22390000</v>
      </c>
      <c r="L92" s="90">
        <v>32920000</v>
      </c>
    </row>
    <row r="93" spans="1:12" ht="13.2" customHeight="1" x14ac:dyDescent="0.3">
      <c r="B93" s="34"/>
      <c r="E93" s="7"/>
      <c r="H93" s="7"/>
      <c r="L93" s="37"/>
    </row>
    <row r="94" spans="1:12" ht="13.2" customHeight="1" x14ac:dyDescent="0.3">
      <c r="E94" s="7"/>
      <c r="H94" s="7"/>
      <c r="L94" s="37"/>
    </row>
    <row r="95" spans="1:12" ht="13.2" customHeight="1" x14ac:dyDescent="0.3">
      <c r="E95" s="7"/>
      <c r="H95" s="7"/>
      <c r="L95" s="37"/>
    </row>
    <row r="96" spans="1:12" ht="13.2" customHeight="1" x14ac:dyDescent="0.3">
      <c r="E96" s="7"/>
      <c r="H96" s="7"/>
      <c r="L96" s="37"/>
    </row>
    <row r="97" spans="2:12" ht="13.2" customHeight="1" x14ac:dyDescent="0.3">
      <c r="E97" s="7"/>
      <c r="H97" s="7"/>
      <c r="L97" s="37"/>
    </row>
    <row r="98" spans="2:12" ht="13.2" customHeight="1" x14ac:dyDescent="0.3">
      <c r="E98" s="7"/>
      <c r="H98" s="7"/>
      <c r="L98" s="37"/>
    </row>
    <row r="99" spans="2:12" ht="13.2" customHeight="1" x14ac:dyDescent="0.3">
      <c r="E99" s="7"/>
      <c r="H99" s="7"/>
      <c r="L99" s="37"/>
    </row>
    <row r="100" spans="2:12" ht="13.2" customHeight="1" x14ac:dyDescent="0.3">
      <c r="E100" s="7"/>
      <c r="H100" s="7"/>
      <c r="L100" s="37"/>
    </row>
    <row r="101" spans="2:12" ht="13.2" customHeight="1" x14ac:dyDescent="0.3">
      <c r="E101" s="7"/>
      <c r="H101" s="7"/>
      <c r="L101" s="37"/>
    </row>
    <row r="102" spans="2:12" ht="13.2" customHeight="1" x14ac:dyDescent="0.3">
      <c r="E102" s="7"/>
      <c r="H102" s="7"/>
      <c r="L102" s="37"/>
    </row>
    <row r="103" spans="2:12" ht="13.2" customHeight="1" x14ac:dyDescent="0.3">
      <c r="B103" s="7"/>
      <c r="C103" s="7"/>
      <c r="D103" s="7"/>
      <c r="E103" s="7"/>
      <c r="H103" s="7"/>
      <c r="L103" s="37"/>
    </row>
    <row r="104" spans="2:12" ht="13.2" customHeight="1" x14ac:dyDescent="0.3">
      <c r="B104" s="7"/>
      <c r="C104" s="7"/>
      <c r="D104" s="7"/>
      <c r="E104" s="7"/>
      <c r="H104" s="7"/>
      <c r="L104" s="37"/>
    </row>
    <row r="105" spans="2:12" ht="13.2" customHeight="1" x14ac:dyDescent="0.3">
      <c r="B105" s="7"/>
      <c r="C105" s="7"/>
      <c r="D105" s="7"/>
      <c r="E105" s="7"/>
      <c r="H105" s="7"/>
      <c r="L105" s="37"/>
    </row>
    <row r="106" spans="2:12" ht="13.2" customHeight="1" x14ac:dyDescent="0.3">
      <c r="B106" s="7"/>
      <c r="C106" s="7"/>
      <c r="D106" s="7"/>
      <c r="E106" s="7"/>
      <c r="H106" s="7"/>
      <c r="L106" s="37"/>
    </row>
    <row r="107" spans="2:12" ht="13.2" customHeight="1" x14ac:dyDescent="0.3">
      <c r="B107" s="7"/>
      <c r="C107" s="7"/>
      <c r="D107" s="7"/>
      <c r="E107" s="7"/>
      <c r="H107" s="7"/>
      <c r="L107" s="37"/>
    </row>
    <row r="108" spans="2:12" ht="13.2" customHeight="1" x14ac:dyDescent="0.3">
      <c r="B108" s="7"/>
      <c r="C108" s="7"/>
      <c r="D108" s="7"/>
      <c r="E108" s="7"/>
      <c r="H108" s="7"/>
      <c r="L108" s="37"/>
    </row>
    <row r="109" spans="2:12" ht="13.2" customHeight="1" x14ac:dyDescent="0.3">
      <c r="B109" s="7"/>
      <c r="C109" s="7"/>
      <c r="D109" s="7"/>
      <c r="E109" s="7"/>
      <c r="H109" s="7"/>
      <c r="L109" s="37"/>
    </row>
    <row r="110" spans="2:12" ht="13.2" customHeight="1" x14ac:dyDescent="0.3">
      <c r="B110" s="7"/>
      <c r="C110" s="7"/>
      <c r="D110" s="7"/>
      <c r="E110" s="7"/>
      <c r="H110" s="7"/>
      <c r="L110" s="37"/>
    </row>
    <row r="111" spans="2:12" ht="13.2" customHeight="1" x14ac:dyDescent="0.3">
      <c r="B111" s="7"/>
      <c r="C111" s="7"/>
      <c r="D111" s="7"/>
      <c r="E111" s="7"/>
      <c r="H111" s="7"/>
      <c r="L111" s="37"/>
    </row>
    <row r="112" spans="2:12" ht="13.2" customHeight="1" x14ac:dyDescent="0.3">
      <c r="B112" s="7"/>
      <c r="C112" s="7"/>
      <c r="D112" s="7"/>
      <c r="E112" s="7"/>
      <c r="H112" s="7"/>
      <c r="L112" s="37"/>
    </row>
    <row r="113" spans="2:12" ht="13.2" customHeight="1" x14ac:dyDescent="0.3">
      <c r="B113" s="7"/>
      <c r="C113" s="7"/>
      <c r="D113" s="7"/>
      <c r="E113" s="7"/>
      <c r="H113" s="7"/>
      <c r="L113" s="37"/>
    </row>
    <row r="114" spans="2:12" ht="13.2" customHeight="1" x14ac:dyDescent="0.3">
      <c r="B114" s="7"/>
      <c r="C114" s="7"/>
      <c r="D114" s="7"/>
      <c r="E114" s="7"/>
      <c r="H114" s="7"/>
      <c r="L114" s="37"/>
    </row>
    <row r="115" spans="2:12" ht="13.2" customHeight="1" x14ac:dyDescent="0.3">
      <c r="B115" s="7"/>
      <c r="C115" s="7"/>
      <c r="D115" s="7"/>
      <c r="E115" s="7"/>
      <c r="H115" s="7"/>
      <c r="L115" s="37"/>
    </row>
    <row r="116" spans="2:12" ht="13.2" customHeight="1" x14ac:dyDescent="0.3">
      <c r="B116" s="7"/>
      <c r="C116" s="7"/>
      <c r="D116" s="7"/>
      <c r="E116" s="7"/>
      <c r="H116" s="7"/>
      <c r="L116" s="37"/>
    </row>
    <row r="117" spans="2:12" ht="13.2" customHeight="1" x14ac:dyDescent="0.3">
      <c r="B117" s="7"/>
      <c r="C117" s="7"/>
      <c r="D117" s="7"/>
      <c r="E117" s="7"/>
      <c r="H117" s="7"/>
      <c r="L117" s="37"/>
    </row>
    <row r="118" spans="2:12" ht="13.2" customHeight="1" x14ac:dyDescent="0.3">
      <c r="B118" s="7"/>
      <c r="C118" s="7"/>
      <c r="D118" s="7"/>
      <c r="E118" s="7"/>
      <c r="H118" s="7"/>
      <c r="L118" s="37"/>
    </row>
    <row r="119" spans="2:12" ht="13.2" customHeight="1" x14ac:dyDescent="0.3">
      <c r="B119" s="7"/>
      <c r="C119" s="7"/>
      <c r="D119" s="7"/>
      <c r="E119" s="7"/>
      <c r="H119" s="7"/>
      <c r="L119" s="37"/>
    </row>
    <row r="120" spans="2:12" ht="13.2" customHeight="1" x14ac:dyDescent="0.3">
      <c r="B120" s="7"/>
      <c r="C120" s="7"/>
      <c r="D120" s="7"/>
      <c r="E120" s="7"/>
      <c r="H120" s="7"/>
      <c r="L120" s="37"/>
    </row>
    <row r="121" spans="2:12" ht="13.2" customHeight="1" x14ac:dyDescent="0.3">
      <c r="B121" s="7"/>
      <c r="C121" s="7"/>
      <c r="D121" s="7"/>
      <c r="E121" s="7"/>
      <c r="H121" s="7"/>
      <c r="L121" s="37"/>
    </row>
    <row r="122" spans="2:12" ht="13.2" customHeight="1" x14ac:dyDescent="0.3">
      <c r="B122" s="7"/>
      <c r="C122" s="7"/>
      <c r="D122" s="7"/>
      <c r="E122" s="7"/>
      <c r="H122" s="7"/>
      <c r="L122" s="37"/>
    </row>
    <row r="123" spans="2:12" ht="13.2" customHeight="1" x14ac:dyDescent="0.3">
      <c r="B123" s="7"/>
      <c r="C123" s="7"/>
      <c r="D123" s="7"/>
      <c r="E123" s="7"/>
      <c r="H123" s="7"/>
      <c r="L123" s="37"/>
    </row>
    <row r="124" spans="2:12" ht="13.2" customHeight="1" x14ac:dyDescent="0.3">
      <c r="B124" s="7"/>
      <c r="C124" s="7"/>
      <c r="D124" s="7"/>
      <c r="E124" s="7"/>
      <c r="H124" s="7"/>
      <c r="L124" s="37"/>
    </row>
    <row r="125" spans="2:12" ht="13.2" customHeight="1" x14ac:dyDescent="0.3">
      <c r="B125" s="7"/>
      <c r="C125" s="7"/>
      <c r="D125" s="7"/>
      <c r="E125" s="7"/>
      <c r="H125" s="7"/>
      <c r="L125" s="37"/>
    </row>
    <row r="126" spans="2:12" ht="13.2" customHeight="1" x14ac:dyDescent="0.3">
      <c r="B126" s="7"/>
      <c r="C126" s="7"/>
      <c r="D126" s="7"/>
      <c r="E126" s="7"/>
      <c r="H126" s="7"/>
      <c r="L126" s="37"/>
    </row>
    <row r="127" spans="2:12" ht="13.2" customHeight="1" x14ac:dyDescent="0.3">
      <c r="B127" s="7"/>
      <c r="C127" s="7"/>
      <c r="D127" s="7"/>
      <c r="E127" s="7"/>
      <c r="H127" s="7"/>
      <c r="L127" s="37"/>
    </row>
    <row r="128" spans="2:12" ht="13.2" customHeight="1" x14ac:dyDescent="0.3">
      <c r="B128" s="7"/>
      <c r="C128" s="7"/>
      <c r="D128" s="7"/>
      <c r="E128" s="7"/>
      <c r="H128" s="7"/>
      <c r="L128" s="37"/>
    </row>
    <row r="129" spans="2:12" ht="13.2" customHeight="1" x14ac:dyDescent="0.3">
      <c r="B129" s="7"/>
      <c r="C129" s="7"/>
      <c r="D129" s="7"/>
      <c r="E129" s="7"/>
      <c r="H129" s="7"/>
      <c r="L129" s="37"/>
    </row>
    <row r="130" spans="2:12" ht="13.2" customHeight="1" x14ac:dyDescent="0.3">
      <c r="B130" s="7"/>
      <c r="C130" s="7"/>
      <c r="D130" s="7"/>
      <c r="E130" s="7"/>
      <c r="H130" s="7"/>
      <c r="L130" s="37"/>
    </row>
    <row r="131" spans="2:12" ht="13.2" customHeight="1" x14ac:dyDescent="0.3">
      <c r="B131" s="7"/>
      <c r="C131" s="7"/>
      <c r="D131" s="7"/>
      <c r="E131" s="7"/>
      <c r="H131" s="7"/>
      <c r="L131" s="37"/>
    </row>
    <row r="132" spans="2:12" ht="13.2" customHeight="1" x14ac:dyDescent="0.3">
      <c r="B132" s="7"/>
      <c r="C132" s="7"/>
      <c r="D132" s="7"/>
      <c r="E132" s="7"/>
      <c r="H132" s="7"/>
      <c r="L132" s="37"/>
    </row>
    <row r="133" spans="2:12" ht="13.2" customHeight="1" x14ac:dyDescent="0.3">
      <c r="B133" s="7"/>
      <c r="C133" s="7"/>
      <c r="D133" s="7"/>
      <c r="E133" s="7"/>
      <c r="H133" s="7"/>
      <c r="L133" s="37"/>
    </row>
    <row r="134" spans="2:12" ht="13.2" customHeight="1" x14ac:dyDescent="0.3">
      <c r="B134" s="7"/>
      <c r="C134" s="7"/>
      <c r="D134" s="7"/>
      <c r="E134" s="7"/>
      <c r="H134" s="7"/>
      <c r="L134" s="37"/>
    </row>
    <row r="135" spans="2:12" ht="13.2" customHeight="1" x14ac:dyDescent="0.3">
      <c r="B135" s="7"/>
      <c r="C135" s="7"/>
      <c r="D135" s="7"/>
      <c r="E135" s="7"/>
      <c r="H135" s="7"/>
      <c r="L135" s="37"/>
    </row>
    <row r="136" spans="2:12" ht="13.2" customHeight="1" x14ac:dyDescent="0.3">
      <c r="B136" s="7"/>
      <c r="C136" s="7"/>
      <c r="D136" s="7"/>
      <c r="E136" s="7"/>
      <c r="H136" s="7"/>
      <c r="L136" s="37"/>
    </row>
    <row r="137" spans="2:12" ht="13.2" customHeight="1" x14ac:dyDescent="0.3">
      <c r="B137" s="7"/>
      <c r="C137" s="7"/>
      <c r="D137" s="7"/>
      <c r="E137" s="7"/>
      <c r="H137" s="7"/>
      <c r="L137" s="37"/>
    </row>
    <row r="138" spans="2:12" ht="13.2" customHeight="1" x14ac:dyDescent="0.3">
      <c r="B138" s="7"/>
      <c r="C138" s="7"/>
      <c r="D138" s="7"/>
      <c r="E138" s="7"/>
      <c r="H138" s="7"/>
      <c r="L138" s="37"/>
    </row>
    <row r="139" spans="2:12" ht="13.2" customHeight="1" x14ac:dyDescent="0.3">
      <c r="B139" s="7"/>
      <c r="C139" s="7"/>
      <c r="D139" s="7"/>
      <c r="E139" s="7"/>
      <c r="H139" s="7"/>
      <c r="L139" s="37"/>
    </row>
    <row r="140" spans="2:12" ht="13.2" customHeight="1" x14ac:dyDescent="0.3">
      <c r="B140" s="7"/>
      <c r="C140" s="7"/>
      <c r="D140" s="7"/>
      <c r="E140" s="7"/>
      <c r="H140" s="7"/>
      <c r="L140" s="37"/>
    </row>
    <row r="141" spans="2:12" ht="13.2" customHeight="1" x14ac:dyDescent="0.3">
      <c r="B141" s="7"/>
      <c r="C141" s="7"/>
      <c r="D141" s="7"/>
      <c r="E141" s="7"/>
      <c r="H141" s="7"/>
      <c r="L141" s="37"/>
    </row>
    <row r="142" spans="2:12" ht="13.2" customHeight="1" x14ac:dyDescent="0.3">
      <c r="B142" s="7"/>
      <c r="C142" s="7"/>
      <c r="D142" s="7"/>
      <c r="E142" s="7"/>
      <c r="H142" s="7"/>
      <c r="L142" s="37"/>
    </row>
    <row r="143" spans="2:12" ht="13.2" customHeight="1" x14ac:dyDescent="0.3">
      <c r="B143" s="7"/>
      <c r="C143" s="7"/>
      <c r="D143" s="7"/>
      <c r="E143" s="7"/>
      <c r="H143" s="7"/>
      <c r="L143" s="37"/>
    </row>
    <row r="144" spans="2:12" ht="13.2" customHeight="1" x14ac:dyDescent="0.3">
      <c r="B144" s="7"/>
      <c r="C144" s="7"/>
      <c r="D144" s="7"/>
      <c r="E144" s="7"/>
      <c r="H144" s="7"/>
      <c r="L144" s="37"/>
    </row>
    <row r="145" spans="2:12" ht="13.2" customHeight="1" x14ac:dyDescent="0.3">
      <c r="B145" s="7"/>
      <c r="C145" s="7"/>
      <c r="D145" s="7"/>
      <c r="E145" s="7"/>
      <c r="H145" s="7"/>
      <c r="L145" s="37"/>
    </row>
    <row r="146" spans="2:12" ht="13.2" customHeight="1" x14ac:dyDescent="0.3">
      <c r="B146" s="7"/>
      <c r="C146" s="7"/>
      <c r="D146" s="7"/>
      <c r="E146" s="7"/>
      <c r="H146" s="7"/>
      <c r="L146" s="37"/>
    </row>
    <row r="147" spans="2:12" ht="13.2" customHeight="1" x14ac:dyDescent="0.3">
      <c r="B147" s="7"/>
      <c r="C147" s="7"/>
      <c r="D147" s="7"/>
      <c r="E147" s="7"/>
      <c r="H147" s="7"/>
      <c r="L147" s="37"/>
    </row>
    <row r="148" spans="2:12" ht="13.2" customHeight="1" x14ac:dyDescent="0.3">
      <c r="B148" s="7"/>
      <c r="C148" s="7"/>
      <c r="D148" s="7"/>
      <c r="E148" s="7"/>
      <c r="H148" s="7"/>
      <c r="L148" s="37"/>
    </row>
    <row r="149" spans="2:12" ht="13.2" customHeight="1" x14ac:dyDescent="0.3">
      <c r="B149" s="7"/>
      <c r="C149" s="7"/>
      <c r="D149" s="7"/>
      <c r="E149" s="7"/>
      <c r="H149" s="7"/>
      <c r="L149" s="37"/>
    </row>
    <row r="150" spans="2:12" ht="13.2" customHeight="1" x14ac:dyDescent="0.3">
      <c r="B150" s="7"/>
      <c r="C150" s="7"/>
      <c r="D150" s="7"/>
      <c r="E150" s="7"/>
      <c r="H150" s="7"/>
      <c r="L150" s="37"/>
    </row>
    <row r="151" spans="2:12" ht="13.2" customHeight="1" x14ac:dyDescent="0.3">
      <c r="B151" s="7"/>
      <c r="C151" s="7"/>
      <c r="D151" s="7"/>
      <c r="E151" s="7"/>
      <c r="H151" s="7"/>
      <c r="L151" s="37"/>
    </row>
    <row r="152" spans="2:12" ht="13.2" customHeight="1" x14ac:dyDescent="0.3">
      <c r="B152" s="7"/>
      <c r="C152" s="7"/>
      <c r="D152" s="7"/>
      <c r="E152" s="7"/>
      <c r="H152" s="7"/>
      <c r="L152" s="37"/>
    </row>
    <row r="153" spans="2:12" ht="13.2" customHeight="1" x14ac:dyDescent="0.3">
      <c r="B153" s="7"/>
      <c r="C153" s="7"/>
      <c r="D153" s="7"/>
      <c r="E153" s="7"/>
      <c r="H153" s="7"/>
      <c r="L153" s="37"/>
    </row>
    <row r="154" spans="2:12" ht="13.2" customHeight="1" x14ac:dyDescent="0.3">
      <c r="B154" s="7"/>
      <c r="C154" s="7"/>
      <c r="D154" s="7"/>
      <c r="E154" s="7"/>
      <c r="H154" s="7"/>
      <c r="L154" s="37"/>
    </row>
    <row r="155" spans="2:12" ht="13.2" customHeight="1" x14ac:dyDescent="0.3">
      <c r="B155" s="7"/>
      <c r="C155" s="7"/>
      <c r="D155" s="7"/>
      <c r="E155" s="7"/>
      <c r="H155" s="7"/>
      <c r="L155" s="37"/>
    </row>
    <row r="156" spans="2:12" ht="13.2" customHeight="1" x14ac:dyDescent="0.3">
      <c r="B156" s="7"/>
      <c r="C156" s="7"/>
      <c r="D156" s="7"/>
      <c r="E156" s="7"/>
      <c r="H156" s="7"/>
      <c r="L156" s="37"/>
    </row>
    <row r="157" spans="2:12" ht="13.2" customHeight="1" x14ac:dyDescent="0.3">
      <c r="B157" s="7"/>
      <c r="C157" s="7"/>
      <c r="D157" s="7"/>
      <c r="E157" s="7"/>
      <c r="H157" s="7"/>
      <c r="L157" s="37"/>
    </row>
    <row r="158" spans="2:12" ht="13.2" customHeight="1" x14ac:dyDescent="0.3">
      <c r="B158" s="7"/>
      <c r="C158" s="7"/>
      <c r="D158" s="7"/>
      <c r="E158" s="7"/>
      <c r="H158" s="7"/>
      <c r="L158" s="37"/>
    </row>
    <row r="159" spans="2:12" ht="13.2" customHeight="1" x14ac:dyDescent="0.3">
      <c r="B159" s="7"/>
      <c r="C159" s="7"/>
      <c r="D159" s="7"/>
      <c r="E159" s="7"/>
      <c r="H159" s="7"/>
      <c r="L159" s="37"/>
    </row>
    <row r="160" spans="2:12" ht="13.2" customHeight="1" x14ac:dyDescent="0.3">
      <c r="B160" s="7"/>
      <c r="C160" s="7"/>
      <c r="D160" s="7"/>
      <c r="E160" s="7"/>
      <c r="H160" s="7"/>
      <c r="L160" s="37"/>
    </row>
    <row r="161" spans="2:12" ht="13.2" customHeight="1" x14ac:dyDescent="0.3">
      <c r="B161" s="7"/>
      <c r="C161" s="7"/>
      <c r="D161" s="7"/>
      <c r="E161" s="7"/>
      <c r="H161" s="7"/>
      <c r="L161" s="37"/>
    </row>
    <row r="162" spans="2:12" ht="13.2" customHeight="1" x14ac:dyDescent="0.3">
      <c r="B162" s="7"/>
      <c r="C162" s="7"/>
      <c r="D162" s="7"/>
      <c r="E162" s="7"/>
      <c r="H162" s="7"/>
      <c r="L162" s="37"/>
    </row>
    <row r="163" spans="2:12" ht="13.2" customHeight="1" x14ac:dyDescent="0.3">
      <c r="B163" s="7"/>
      <c r="C163" s="7"/>
      <c r="D163" s="7"/>
      <c r="E163" s="7"/>
      <c r="H163" s="7"/>
      <c r="L163" s="37"/>
    </row>
    <row r="164" spans="2:12" ht="13.2" customHeight="1" x14ac:dyDescent="0.3">
      <c r="B164" s="7"/>
      <c r="C164" s="7"/>
      <c r="D164" s="7"/>
      <c r="E164" s="7"/>
      <c r="H164" s="7"/>
      <c r="L164" s="37"/>
    </row>
    <row r="165" spans="2:12" ht="13.2" customHeight="1" x14ac:dyDescent="0.3">
      <c r="B165" s="7"/>
      <c r="C165" s="7"/>
      <c r="D165" s="7"/>
      <c r="E165" s="7"/>
      <c r="H165" s="7"/>
      <c r="L165" s="37"/>
    </row>
    <row r="166" spans="2:12" ht="13.2" customHeight="1" x14ac:dyDescent="0.3">
      <c r="B166" s="7"/>
      <c r="C166" s="7"/>
      <c r="D166" s="7"/>
      <c r="E166" s="7"/>
      <c r="H166" s="7"/>
      <c r="L166" s="37"/>
    </row>
    <row r="167" spans="2:12" ht="13.2" customHeight="1" x14ac:dyDescent="0.3">
      <c r="B167" s="7"/>
      <c r="C167" s="7"/>
      <c r="D167" s="7"/>
      <c r="E167" s="7"/>
      <c r="H167" s="7"/>
      <c r="L167" s="37"/>
    </row>
    <row r="168" spans="2:12" ht="13.2" customHeight="1" x14ac:dyDescent="0.3">
      <c r="B168" s="7"/>
      <c r="C168" s="7"/>
      <c r="D168" s="7"/>
      <c r="E168" s="7"/>
      <c r="H168" s="7"/>
      <c r="L168" s="37"/>
    </row>
    <row r="169" spans="2:12" ht="13.2" customHeight="1" x14ac:dyDescent="0.3">
      <c r="B169" s="7"/>
      <c r="C169" s="7"/>
      <c r="D169" s="7"/>
      <c r="E169" s="7"/>
      <c r="H169" s="7"/>
      <c r="L169" s="37"/>
    </row>
    <row r="170" spans="2:12" ht="13.2" customHeight="1" x14ac:dyDescent="0.3">
      <c r="B170" s="7"/>
      <c r="C170" s="7"/>
      <c r="D170" s="7"/>
      <c r="E170" s="7"/>
      <c r="H170" s="7"/>
      <c r="L170" s="37"/>
    </row>
    <row r="171" spans="2:12" ht="13.2" customHeight="1" x14ac:dyDescent="0.3">
      <c r="B171" s="7"/>
      <c r="C171" s="7"/>
      <c r="D171" s="7"/>
      <c r="E171" s="7"/>
      <c r="H171" s="7"/>
      <c r="L171" s="37"/>
    </row>
    <row r="172" spans="2:12" ht="13.2" customHeight="1" x14ac:dyDescent="0.3">
      <c r="B172" s="7"/>
      <c r="C172" s="7"/>
      <c r="D172" s="7"/>
      <c r="E172" s="7"/>
      <c r="H172" s="7"/>
      <c r="L172" s="37"/>
    </row>
    <row r="173" spans="2:12" ht="13.2" customHeight="1" x14ac:dyDescent="0.3">
      <c r="B173" s="7"/>
      <c r="C173" s="7"/>
      <c r="D173" s="7"/>
      <c r="E173" s="7"/>
      <c r="H173" s="7"/>
      <c r="L173" s="37"/>
    </row>
    <row r="174" spans="2:12" ht="13.2" customHeight="1" x14ac:dyDescent="0.3">
      <c r="B174" s="7"/>
      <c r="C174" s="7"/>
      <c r="D174" s="7"/>
      <c r="E174" s="7"/>
      <c r="H174" s="7"/>
      <c r="L174" s="37"/>
    </row>
    <row r="175" spans="2:12" ht="13.2" customHeight="1" x14ac:dyDescent="0.3">
      <c r="B175" s="7"/>
      <c r="C175" s="7"/>
      <c r="D175" s="7"/>
      <c r="E175" s="7"/>
      <c r="H175" s="7"/>
      <c r="L175" s="37"/>
    </row>
    <row r="176" spans="2:12" ht="13.2" customHeight="1" x14ac:dyDescent="0.3">
      <c r="B176" s="7"/>
      <c r="C176" s="7"/>
      <c r="D176" s="7"/>
      <c r="E176" s="7"/>
      <c r="H176" s="7"/>
      <c r="L176" s="37"/>
    </row>
    <row r="177" spans="1:12" ht="13.2" customHeight="1" x14ac:dyDescent="0.3">
      <c r="B177" s="7"/>
      <c r="C177" s="7"/>
      <c r="D177" s="7"/>
      <c r="E177" s="7"/>
      <c r="H177" s="7"/>
      <c r="L177" s="37"/>
    </row>
    <row r="178" spans="1:12" ht="13.2" customHeight="1" x14ac:dyDescent="0.3">
      <c r="B178" s="7"/>
      <c r="C178" s="7"/>
      <c r="D178" s="7"/>
      <c r="E178" s="7"/>
      <c r="H178" s="7"/>
      <c r="L178" s="37"/>
    </row>
    <row r="179" spans="1:12" ht="13.2" customHeight="1" x14ac:dyDescent="0.3">
      <c r="B179" s="7"/>
      <c r="C179" s="7"/>
      <c r="D179" s="7"/>
      <c r="E179" s="7"/>
      <c r="H179" s="7"/>
      <c r="L179" s="37"/>
    </row>
    <row r="180" spans="1:12" ht="13.2" customHeight="1" x14ac:dyDescent="0.3">
      <c r="B180" s="7"/>
      <c r="C180" s="7"/>
      <c r="D180" s="7"/>
      <c r="E180" s="7"/>
      <c r="H180" s="7"/>
      <c r="L180" s="37"/>
    </row>
    <row r="181" spans="1:12" ht="13.2" customHeight="1" x14ac:dyDescent="0.3">
      <c r="B181" s="7"/>
      <c r="C181" s="7"/>
      <c r="D181" s="7"/>
      <c r="E181" s="7"/>
      <c r="H181" s="7"/>
      <c r="L181" s="37"/>
    </row>
    <row r="182" spans="1:12" ht="13.2" customHeight="1" x14ac:dyDescent="0.3">
      <c r="B182" s="7"/>
      <c r="C182" s="7"/>
      <c r="D182" s="7"/>
      <c r="E182" s="7"/>
      <c r="H182" s="7"/>
      <c r="L182" s="37"/>
    </row>
    <row r="183" spans="1:12" ht="13.2" customHeight="1" x14ac:dyDescent="0.3">
      <c r="E183" s="7"/>
      <c r="H183" s="7"/>
      <c r="L183" s="37"/>
    </row>
    <row r="184" spans="1:12" ht="13.2" customHeight="1" x14ac:dyDescent="0.3">
      <c r="A184" s="38"/>
      <c r="I184" s="36"/>
      <c r="J184" s="36"/>
      <c r="K184" s="21"/>
      <c r="L184" s="39"/>
    </row>
    <row r="185" spans="1:12" ht="13.2" customHeight="1" x14ac:dyDescent="0.3">
      <c r="A185" s="38"/>
      <c r="I185" s="36"/>
      <c r="J185" s="36"/>
      <c r="K185" s="21"/>
      <c r="L185" s="39"/>
    </row>
    <row r="186" spans="1:12" ht="13.2" customHeight="1" x14ac:dyDescent="0.3">
      <c r="A186" s="38"/>
      <c r="I186" s="36"/>
      <c r="J186" s="36"/>
      <c r="K186" s="21"/>
      <c r="L186" s="39"/>
    </row>
    <row r="187" spans="1:12" ht="13.2" customHeight="1" x14ac:dyDescent="0.3">
      <c r="A187" s="38"/>
      <c r="I187" s="36"/>
      <c r="J187" s="36"/>
      <c r="K187" s="21"/>
      <c r="L187" s="39"/>
    </row>
    <row r="188" spans="1:12" ht="13.2" customHeight="1" x14ac:dyDescent="0.3">
      <c r="A188" s="38"/>
      <c r="I188" s="36"/>
      <c r="J188" s="36"/>
      <c r="K188" s="21"/>
      <c r="L188" s="39"/>
    </row>
    <row r="189" spans="1:12" ht="13.2" customHeight="1" x14ac:dyDescent="0.3">
      <c r="A189" s="38"/>
      <c r="I189" s="36"/>
      <c r="J189" s="36"/>
      <c r="K189" s="21"/>
      <c r="L189" s="39"/>
    </row>
    <row r="190" spans="1:12" ht="13.2" customHeight="1" x14ac:dyDescent="0.3">
      <c r="A190" s="38"/>
      <c r="I190" s="36"/>
      <c r="J190" s="36"/>
      <c r="K190" s="21"/>
      <c r="L190" s="39"/>
    </row>
    <row r="191" spans="1:12" ht="13.2" customHeight="1" x14ac:dyDescent="0.3">
      <c r="A191" s="38"/>
      <c r="I191" s="36"/>
      <c r="J191" s="36"/>
      <c r="K191" s="21"/>
      <c r="L191" s="39"/>
    </row>
    <row r="192" spans="1:12" ht="13.2" customHeight="1" x14ac:dyDescent="0.3">
      <c r="A192" s="38"/>
      <c r="I192" s="36"/>
      <c r="J192" s="36"/>
      <c r="K192" s="21"/>
      <c r="L192" s="39"/>
    </row>
    <row r="193" spans="1:12" ht="13.2" customHeight="1" x14ac:dyDescent="0.3">
      <c r="A193" s="38"/>
      <c r="I193" s="36"/>
      <c r="J193" s="36"/>
      <c r="K193" s="21"/>
      <c r="L193" s="39"/>
    </row>
    <row r="194" spans="1:12" ht="13.2" customHeight="1" x14ac:dyDescent="0.3">
      <c r="A194" s="38"/>
      <c r="I194" s="36"/>
      <c r="J194" s="36"/>
      <c r="K194" s="21"/>
      <c r="L194" s="39"/>
    </row>
    <row r="195" spans="1:12" ht="13.2" customHeight="1" x14ac:dyDescent="0.3">
      <c r="A195" s="38"/>
      <c r="I195" s="36"/>
      <c r="J195" s="36"/>
      <c r="K195" s="21"/>
      <c r="L195" s="39"/>
    </row>
    <row r="196" spans="1:12" ht="13.2" customHeight="1" x14ac:dyDescent="0.3">
      <c r="A196" s="38"/>
      <c r="I196" s="36"/>
      <c r="J196" s="36"/>
      <c r="K196" s="21"/>
      <c r="L196" s="39"/>
    </row>
    <row r="197" spans="1:12" ht="13.2" customHeight="1" x14ac:dyDescent="0.3">
      <c r="A197" s="38"/>
      <c r="I197" s="36"/>
      <c r="J197" s="36"/>
      <c r="K197" s="21"/>
      <c r="L197" s="39"/>
    </row>
    <row r="198" spans="1:12" ht="13.2" customHeight="1" x14ac:dyDescent="0.3">
      <c r="A198" s="38"/>
      <c r="I198" s="36"/>
      <c r="J198" s="36"/>
      <c r="K198" s="21"/>
      <c r="L198" s="39"/>
    </row>
    <row r="199" spans="1:12" ht="13.2" customHeight="1" x14ac:dyDescent="0.3">
      <c r="A199" s="38"/>
      <c r="I199" s="36"/>
      <c r="J199" s="36"/>
      <c r="K199" s="21"/>
      <c r="L199" s="39"/>
    </row>
    <row r="200" spans="1:12" ht="13.2" customHeight="1" x14ac:dyDescent="0.3">
      <c r="A200" s="38"/>
      <c r="I200" s="36"/>
      <c r="J200" s="36"/>
      <c r="K200" s="21"/>
      <c r="L200" s="39"/>
    </row>
    <row r="201" spans="1:12" ht="13.2" customHeight="1" x14ac:dyDescent="0.3">
      <c r="A201" s="38"/>
      <c r="I201" s="36"/>
      <c r="J201" s="36"/>
      <c r="K201" s="21"/>
      <c r="L201" s="39"/>
    </row>
    <row r="202" spans="1:12" ht="13.2" customHeight="1" x14ac:dyDescent="0.3">
      <c r="A202" s="38"/>
      <c r="I202" s="36"/>
      <c r="J202" s="36"/>
      <c r="K202" s="21"/>
      <c r="L202" s="39"/>
    </row>
    <row r="203" spans="1:12" ht="13.2" customHeight="1" x14ac:dyDescent="0.3">
      <c r="A203" s="38"/>
      <c r="I203" s="36"/>
      <c r="J203" s="36"/>
      <c r="K203" s="21"/>
      <c r="L203" s="39"/>
    </row>
    <row r="204" spans="1:12" ht="13.2" customHeight="1" x14ac:dyDescent="0.3">
      <c r="A204" s="38"/>
      <c r="I204" s="36"/>
      <c r="J204" s="36"/>
      <c r="K204" s="21"/>
      <c r="L204" s="39"/>
    </row>
    <row r="205" spans="1:12" ht="13.2" customHeight="1" x14ac:dyDescent="0.3">
      <c r="A205" s="38"/>
      <c r="I205" s="36"/>
      <c r="J205" s="36"/>
      <c r="K205" s="21"/>
      <c r="L205" s="39"/>
    </row>
    <row r="206" spans="1:12" ht="13.2" customHeight="1" x14ac:dyDescent="0.3">
      <c r="A206" s="38"/>
      <c r="I206" s="36"/>
      <c r="J206" s="36"/>
      <c r="K206" s="21"/>
      <c r="L206" s="39"/>
    </row>
    <row r="207" spans="1:12" ht="13.2" customHeight="1" x14ac:dyDescent="0.3">
      <c r="A207" s="38"/>
      <c r="I207" s="36"/>
      <c r="J207" s="36"/>
      <c r="K207" s="21"/>
      <c r="L207" s="39"/>
    </row>
    <row r="208" spans="1:12" ht="13.2" customHeight="1" x14ac:dyDescent="0.3">
      <c r="A208" s="38"/>
      <c r="I208" s="36"/>
      <c r="J208" s="36"/>
      <c r="K208" s="21"/>
      <c r="L208" s="39"/>
    </row>
    <row r="209" spans="1:12" ht="13.2" customHeight="1" x14ac:dyDescent="0.3">
      <c r="A209" s="38"/>
      <c r="I209" s="36"/>
      <c r="J209" s="36"/>
      <c r="K209" s="21"/>
      <c r="L209" s="39"/>
    </row>
    <row r="210" spans="1:12" ht="13.2" customHeight="1" x14ac:dyDescent="0.3">
      <c r="A210" s="38"/>
      <c r="I210" s="36"/>
      <c r="J210" s="36"/>
      <c r="K210" s="21"/>
      <c r="L210" s="39"/>
    </row>
    <row r="211" spans="1:12" ht="13.2" customHeight="1" x14ac:dyDescent="0.3">
      <c r="A211" s="38"/>
      <c r="I211" s="36"/>
      <c r="J211" s="36"/>
      <c r="K211" s="21"/>
      <c r="L211" s="39"/>
    </row>
    <row r="212" spans="1:12" ht="13.2" customHeight="1" x14ac:dyDescent="0.3">
      <c r="A212" s="38"/>
      <c r="I212" s="36"/>
      <c r="J212" s="36"/>
      <c r="K212" s="21"/>
      <c r="L212" s="39"/>
    </row>
    <row r="213" spans="1:12" ht="13.2" customHeight="1" x14ac:dyDescent="0.3">
      <c r="A213" s="38"/>
      <c r="I213" s="36"/>
      <c r="J213" s="36"/>
      <c r="K213" s="21"/>
      <c r="L213" s="39"/>
    </row>
    <row r="214" spans="1:12" ht="13.2" customHeight="1" x14ac:dyDescent="0.3">
      <c r="A214" s="38"/>
      <c r="I214" s="36"/>
      <c r="J214" s="36"/>
      <c r="K214" s="21"/>
      <c r="L214" s="39"/>
    </row>
    <row r="215" spans="1:12" ht="13.2" customHeight="1" x14ac:dyDescent="0.3">
      <c r="A215" s="38"/>
      <c r="I215" s="36"/>
      <c r="J215" s="36"/>
      <c r="K215" s="21"/>
      <c r="L215" s="39"/>
    </row>
    <row r="216" spans="1:12" ht="13.2" customHeight="1" x14ac:dyDescent="0.3">
      <c r="A216" s="38"/>
      <c r="I216" s="36"/>
      <c r="J216" s="36"/>
      <c r="K216" s="21"/>
      <c r="L216" s="39"/>
    </row>
    <row r="217" spans="1:12" ht="13.2" customHeight="1" x14ac:dyDescent="0.3">
      <c r="A217" s="38"/>
      <c r="I217" s="36"/>
      <c r="J217" s="36"/>
      <c r="K217" s="21"/>
      <c r="L217" s="39"/>
    </row>
    <row r="218" spans="1:12" ht="13.2" customHeight="1" x14ac:dyDescent="0.3">
      <c r="A218" s="38"/>
      <c r="I218" s="36"/>
      <c r="J218" s="36"/>
      <c r="K218" s="21"/>
      <c r="L218" s="39"/>
    </row>
    <row r="219" spans="1:12" ht="13.2" customHeight="1" x14ac:dyDescent="0.3">
      <c r="A219" s="38"/>
      <c r="I219" s="36"/>
      <c r="J219" s="36"/>
      <c r="K219" s="21"/>
      <c r="L219" s="39"/>
    </row>
    <row r="220" spans="1:12" ht="13.2" customHeight="1" x14ac:dyDescent="0.3">
      <c r="A220" s="38"/>
      <c r="I220" s="36"/>
      <c r="J220" s="36"/>
      <c r="K220" s="21"/>
      <c r="L220" s="39"/>
    </row>
    <row r="221" spans="1:12" ht="13.2" customHeight="1" x14ac:dyDescent="0.3">
      <c r="A221" s="38"/>
      <c r="I221" s="36"/>
      <c r="J221" s="36"/>
      <c r="K221" s="21"/>
      <c r="L221" s="39"/>
    </row>
    <row r="222" spans="1:12" ht="13.2" customHeight="1" x14ac:dyDescent="0.3">
      <c r="A222" s="38"/>
      <c r="I222" s="36"/>
      <c r="J222" s="36"/>
      <c r="K222" s="21"/>
      <c r="L222" s="39"/>
    </row>
    <row r="223" spans="1:12" ht="13.2" customHeight="1" x14ac:dyDescent="0.3">
      <c r="A223" s="38"/>
      <c r="I223" s="36"/>
      <c r="J223" s="36"/>
      <c r="K223" s="21"/>
      <c r="L223" s="39"/>
    </row>
    <row r="224" spans="1:12" ht="13.2" customHeight="1" x14ac:dyDescent="0.3">
      <c r="A224" s="38"/>
      <c r="I224" s="36"/>
      <c r="J224" s="36"/>
      <c r="K224" s="21"/>
      <c r="L224" s="39"/>
    </row>
    <row r="225" spans="1:12" ht="13.2" customHeight="1" x14ac:dyDescent="0.3">
      <c r="A225" s="38"/>
      <c r="I225" s="36"/>
      <c r="J225" s="36"/>
      <c r="K225" s="21"/>
      <c r="L225" s="39"/>
    </row>
    <row r="226" spans="1:12" ht="13.2" customHeight="1" x14ac:dyDescent="0.3">
      <c r="A226" s="38"/>
      <c r="I226" s="36"/>
      <c r="J226" s="36"/>
      <c r="K226" s="21"/>
      <c r="L226" s="39"/>
    </row>
    <row r="227" spans="1:12" ht="13.2" customHeight="1" x14ac:dyDescent="0.3">
      <c r="A227" s="38"/>
      <c r="I227" s="36"/>
      <c r="J227" s="36"/>
      <c r="K227" s="21"/>
      <c r="L227" s="39"/>
    </row>
    <row r="228" spans="1:12" ht="13.2" customHeight="1" x14ac:dyDescent="0.3">
      <c r="A228" s="38"/>
      <c r="I228" s="36"/>
      <c r="J228" s="36"/>
      <c r="K228" s="21"/>
      <c r="L228" s="39"/>
    </row>
    <row r="229" spans="1:12" ht="13.2" customHeight="1" x14ac:dyDescent="0.3">
      <c r="A229" s="38"/>
      <c r="I229" s="36"/>
      <c r="J229" s="36"/>
      <c r="K229" s="21"/>
      <c r="L229" s="39"/>
    </row>
    <row r="230" spans="1:12" ht="13.2" customHeight="1" x14ac:dyDescent="0.3">
      <c r="A230" s="38"/>
      <c r="I230" s="36"/>
      <c r="J230" s="36"/>
      <c r="K230" s="21"/>
      <c r="L230" s="39"/>
    </row>
    <row r="231" spans="1:12" ht="13.2" customHeight="1" x14ac:dyDescent="0.3">
      <c r="A231" s="38"/>
      <c r="I231" s="36"/>
      <c r="J231" s="36"/>
      <c r="K231" s="21"/>
      <c r="L231" s="39"/>
    </row>
    <row r="232" spans="1:12" ht="13.2" customHeight="1" x14ac:dyDescent="0.3">
      <c r="A232" s="38"/>
      <c r="I232" s="36"/>
      <c r="J232" s="36"/>
      <c r="K232" s="21"/>
      <c r="L232" s="39"/>
    </row>
    <row r="233" spans="1:12" ht="13.2" customHeight="1" x14ac:dyDescent="0.3">
      <c r="A233" s="38"/>
      <c r="I233" s="36"/>
      <c r="J233" s="36"/>
      <c r="K233" s="21"/>
      <c r="L233" s="39"/>
    </row>
    <row r="234" spans="1:12" ht="13.2" customHeight="1" x14ac:dyDescent="0.3">
      <c r="A234" s="38"/>
      <c r="I234" s="36"/>
      <c r="J234" s="36"/>
      <c r="K234" s="21"/>
      <c r="L234" s="39"/>
    </row>
    <row r="235" spans="1:12" ht="13.2" customHeight="1" x14ac:dyDescent="0.3">
      <c r="A235" s="38"/>
      <c r="I235" s="36"/>
      <c r="J235" s="36"/>
      <c r="K235" s="21"/>
      <c r="L235" s="39"/>
    </row>
    <row r="236" spans="1:12" ht="13.2" customHeight="1" x14ac:dyDescent="0.3">
      <c r="A236" s="38"/>
      <c r="I236" s="36"/>
      <c r="J236" s="36"/>
      <c r="K236" s="21"/>
      <c r="L236" s="39"/>
    </row>
    <row r="237" spans="1:12" ht="13.2" customHeight="1" x14ac:dyDescent="0.3">
      <c r="A237" s="38"/>
      <c r="I237" s="36"/>
      <c r="J237" s="36"/>
      <c r="K237" s="21"/>
      <c r="L237" s="39"/>
    </row>
    <row r="238" spans="1:12" ht="13.2" customHeight="1" x14ac:dyDescent="0.3">
      <c r="A238" s="38"/>
      <c r="I238" s="36"/>
      <c r="J238" s="36"/>
      <c r="K238" s="21"/>
      <c r="L238" s="39"/>
    </row>
    <row r="239" spans="1:12" ht="13.2" customHeight="1" x14ac:dyDescent="0.3">
      <c r="A239" s="38"/>
      <c r="I239" s="36"/>
      <c r="J239" s="36"/>
      <c r="K239" s="21"/>
      <c r="L239" s="39"/>
    </row>
    <row r="240" spans="1:12" ht="13.2" customHeight="1" x14ac:dyDescent="0.3">
      <c r="A240" s="38"/>
      <c r="I240" s="36"/>
      <c r="J240" s="36"/>
      <c r="K240" s="21"/>
      <c r="L240" s="39"/>
    </row>
    <row r="241" spans="1:12" ht="13.2" customHeight="1" x14ac:dyDescent="0.3">
      <c r="A241" s="38"/>
      <c r="I241" s="36"/>
      <c r="J241" s="36"/>
      <c r="K241" s="21"/>
      <c r="L241" s="39"/>
    </row>
    <row r="242" spans="1:12" ht="13.2" customHeight="1" x14ac:dyDescent="0.3">
      <c r="A242" s="38"/>
      <c r="I242" s="36"/>
      <c r="J242" s="36"/>
      <c r="K242" s="21"/>
      <c r="L242" s="39"/>
    </row>
    <row r="243" spans="1:12" ht="13.2" customHeight="1" x14ac:dyDescent="0.3">
      <c r="A243" s="38"/>
      <c r="I243" s="36"/>
      <c r="J243" s="36"/>
      <c r="K243" s="21"/>
      <c r="L243" s="39"/>
    </row>
    <row r="244" spans="1:12" ht="13.2" customHeight="1" x14ac:dyDescent="0.3">
      <c r="A244" s="38"/>
      <c r="I244" s="36"/>
      <c r="J244" s="36"/>
      <c r="K244" s="21"/>
      <c r="L244" s="39"/>
    </row>
    <row r="245" spans="1:12" ht="13.2" customHeight="1" x14ac:dyDescent="0.3">
      <c r="A245" s="38"/>
      <c r="I245" s="36"/>
      <c r="J245" s="36"/>
      <c r="K245" s="21"/>
      <c r="L245" s="39"/>
    </row>
    <row r="246" spans="1:12" ht="13.2" customHeight="1" x14ac:dyDescent="0.3">
      <c r="A246" s="38"/>
      <c r="I246" s="36"/>
      <c r="J246" s="36"/>
      <c r="K246" s="21"/>
      <c r="L246" s="39"/>
    </row>
    <row r="247" spans="1:12" ht="13.2" customHeight="1" x14ac:dyDescent="0.3">
      <c r="A247" s="38"/>
      <c r="I247" s="36"/>
      <c r="J247" s="36"/>
      <c r="K247" s="21"/>
      <c r="L247" s="39"/>
    </row>
    <row r="248" spans="1:12" ht="13.2" customHeight="1" x14ac:dyDescent="0.3">
      <c r="A248" s="38"/>
      <c r="I248" s="36"/>
      <c r="J248" s="36"/>
      <c r="K248" s="21"/>
      <c r="L248" s="39"/>
    </row>
    <row r="249" spans="1:12" ht="13.2" customHeight="1" x14ac:dyDescent="0.3">
      <c r="A249" s="38"/>
      <c r="I249" s="36"/>
      <c r="J249" s="36"/>
      <c r="K249" s="21"/>
      <c r="L249" s="39"/>
    </row>
    <row r="250" spans="1:12" ht="13.2" customHeight="1" x14ac:dyDescent="0.3">
      <c r="A250" s="38"/>
      <c r="I250" s="36"/>
      <c r="J250" s="36"/>
      <c r="K250" s="21"/>
      <c r="L250" s="39"/>
    </row>
    <row r="251" spans="1:12" ht="13.2" customHeight="1" x14ac:dyDescent="0.3">
      <c r="A251" s="38"/>
      <c r="I251" s="36"/>
      <c r="J251" s="36"/>
      <c r="K251" s="21"/>
      <c r="L251" s="39"/>
    </row>
    <row r="252" spans="1:12" ht="13.2" customHeight="1" x14ac:dyDescent="0.3">
      <c r="A252" s="38"/>
      <c r="I252" s="36"/>
      <c r="J252" s="36"/>
      <c r="K252" s="21"/>
      <c r="L252" s="39"/>
    </row>
    <row r="253" spans="1:12" ht="13.2" customHeight="1" x14ac:dyDescent="0.3">
      <c r="A253" s="38"/>
      <c r="I253" s="36"/>
      <c r="J253" s="36"/>
      <c r="K253" s="21"/>
      <c r="L253" s="39"/>
    </row>
    <row r="254" spans="1:12" ht="13.2" customHeight="1" x14ac:dyDescent="0.3">
      <c r="A254" s="38"/>
      <c r="I254" s="36"/>
      <c r="J254" s="36"/>
      <c r="K254" s="21"/>
      <c r="L254" s="39"/>
    </row>
    <row r="255" spans="1:12" ht="13.2" customHeight="1" x14ac:dyDescent="0.3">
      <c r="A255" s="38"/>
      <c r="I255" s="36"/>
      <c r="J255" s="36"/>
      <c r="K255" s="21"/>
      <c r="L255" s="39"/>
    </row>
    <row r="256" spans="1:12" ht="13.2" customHeight="1" x14ac:dyDescent="0.3">
      <c r="A256" s="38"/>
      <c r="I256" s="36"/>
      <c r="J256" s="36"/>
      <c r="K256" s="21"/>
      <c r="L256" s="39"/>
    </row>
    <row r="257" spans="1:12" ht="13.2" customHeight="1" x14ac:dyDescent="0.3">
      <c r="A257" s="38"/>
      <c r="I257" s="36"/>
      <c r="J257" s="36"/>
      <c r="K257" s="21"/>
      <c r="L257" s="39"/>
    </row>
    <row r="258" spans="1:12" ht="13.2" customHeight="1" x14ac:dyDescent="0.3">
      <c r="A258" s="38"/>
      <c r="I258" s="36"/>
      <c r="J258" s="36"/>
      <c r="K258" s="21"/>
      <c r="L258" s="39"/>
    </row>
    <row r="259" spans="1:12" ht="13.2" customHeight="1" x14ac:dyDescent="0.3">
      <c r="A259" s="38"/>
      <c r="I259" s="36"/>
      <c r="J259" s="36"/>
      <c r="K259" s="21"/>
      <c r="L259" s="39"/>
    </row>
    <row r="260" spans="1:12" ht="13.2" customHeight="1" x14ac:dyDescent="0.3">
      <c r="A260" s="38"/>
      <c r="I260" s="36"/>
      <c r="J260" s="36"/>
      <c r="K260" s="21"/>
      <c r="L260" s="39"/>
    </row>
    <row r="261" spans="1:12" ht="13.2" customHeight="1" x14ac:dyDescent="0.3">
      <c r="A261" s="38"/>
      <c r="I261" s="36"/>
      <c r="J261" s="36"/>
      <c r="K261" s="21"/>
      <c r="L261" s="39"/>
    </row>
    <row r="262" spans="1:12" ht="13.2" customHeight="1" x14ac:dyDescent="0.3">
      <c r="A262" s="38"/>
      <c r="I262" s="36"/>
      <c r="J262" s="36"/>
      <c r="K262" s="21"/>
      <c r="L262" s="39"/>
    </row>
    <row r="263" spans="1:12" ht="13.2" customHeight="1" x14ac:dyDescent="0.3">
      <c r="A263" s="38"/>
      <c r="I263" s="36"/>
      <c r="J263" s="36"/>
      <c r="K263" s="21"/>
      <c r="L263" s="39"/>
    </row>
    <row r="264" spans="1:12" ht="13.2" customHeight="1" x14ac:dyDescent="0.3">
      <c r="A264" s="38"/>
      <c r="I264" s="36"/>
      <c r="J264" s="36"/>
      <c r="K264" s="21"/>
      <c r="L264" s="39"/>
    </row>
    <row r="265" spans="1:12" ht="13.2" customHeight="1" x14ac:dyDescent="0.3">
      <c r="A265" s="38"/>
      <c r="I265" s="36"/>
      <c r="J265" s="36"/>
      <c r="K265" s="21"/>
      <c r="L265" s="39"/>
    </row>
    <row r="266" spans="1:12" ht="13.2" customHeight="1" x14ac:dyDescent="0.3">
      <c r="A266" s="38"/>
      <c r="I266" s="36"/>
      <c r="J266" s="36"/>
      <c r="K266" s="21"/>
      <c r="L266" s="39"/>
    </row>
    <row r="267" spans="1:12" ht="13.2" customHeight="1" x14ac:dyDescent="0.3">
      <c r="A267" s="38"/>
      <c r="I267" s="36"/>
      <c r="J267" s="36"/>
      <c r="K267" s="21"/>
      <c r="L267" s="39"/>
    </row>
    <row r="268" spans="1:12" ht="13.2" customHeight="1" x14ac:dyDescent="0.3">
      <c r="A268" s="38"/>
      <c r="I268" s="36"/>
      <c r="J268" s="36"/>
      <c r="K268" s="21"/>
      <c r="L268" s="39"/>
    </row>
    <row r="269" spans="1:12" ht="13.2" customHeight="1" x14ac:dyDescent="0.3">
      <c r="A269" s="38"/>
      <c r="I269" s="36"/>
      <c r="J269" s="36"/>
      <c r="K269" s="21"/>
      <c r="L269" s="39"/>
    </row>
    <row r="270" spans="1:12" ht="13.2" customHeight="1" x14ac:dyDescent="0.3">
      <c r="A270" s="38"/>
      <c r="I270" s="36"/>
      <c r="J270" s="36"/>
      <c r="K270" s="21"/>
      <c r="L270" s="39"/>
    </row>
    <row r="271" spans="1:12" ht="13.2" customHeight="1" x14ac:dyDescent="0.3">
      <c r="A271" s="38"/>
      <c r="I271" s="36"/>
      <c r="J271" s="36"/>
      <c r="K271" s="21"/>
      <c r="L271" s="39"/>
    </row>
    <row r="272" spans="1:12" ht="13.2" customHeight="1" x14ac:dyDescent="0.3">
      <c r="A272" s="38"/>
      <c r="I272" s="36"/>
      <c r="J272" s="36"/>
      <c r="K272" s="21"/>
      <c r="L272" s="39"/>
    </row>
    <row r="273" spans="1:12" ht="13.2" customHeight="1" x14ac:dyDescent="0.3">
      <c r="A273" s="38"/>
      <c r="I273" s="36"/>
      <c r="J273" s="36"/>
      <c r="K273" s="21"/>
      <c r="L273" s="39"/>
    </row>
    <row r="274" spans="1:12" ht="13.2" customHeight="1" x14ac:dyDescent="0.3">
      <c r="A274" s="38"/>
      <c r="I274" s="36"/>
      <c r="J274" s="36"/>
      <c r="K274" s="21"/>
      <c r="L274" s="39"/>
    </row>
    <row r="275" spans="1:12" ht="13.2" customHeight="1" x14ac:dyDescent="0.3">
      <c r="A275" s="38"/>
      <c r="I275" s="36"/>
      <c r="J275" s="36"/>
      <c r="K275" s="21"/>
      <c r="L275" s="39"/>
    </row>
    <row r="276" spans="1:12" ht="13.2" customHeight="1" x14ac:dyDescent="0.3">
      <c r="A276" s="38"/>
      <c r="I276" s="36"/>
      <c r="J276" s="36"/>
      <c r="K276" s="21"/>
      <c r="L276" s="39"/>
    </row>
    <row r="277" spans="1:12" ht="13.2" customHeight="1" x14ac:dyDescent="0.3">
      <c r="A277" s="38"/>
      <c r="I277" s="36"/>
      <c r="J277" s="36"/>
      <c r="K277" s="21"/>
      <c r="L277" s="39"/>
    </row>
    <row r="278" spans="1:12" ht="13.2" customHeight="1" x14ac:dyDescent="0.3">
      <c r="A278" s="38"/>
      <c r="I278" s="36"/>
      <c r="J278" s="36"/>
      <c r="K278" s="21"/>
      <c r="L278" s="39"/>
    </row>
    <row r="279" spans="1:12" ht="13.2" customHeight="1" x14ac:dyDescent="0.3">
      <c r="A279" s="38"/>
      <c r="I279" s="36"/>
      <c r="J279" s="36"/>
      <c r="K279" s="21"/>
      <c r="L279" s="39"/>
    </row>
    <row r="280" spans="1:12" ht="13.2" customHeight="1" x14ac:dyDescent="0.3">
      <c r="A280" s="38"/>
      <c r="I280" s="36"/>
      <c r="J280" s="36"/>
      <c r="K280" s="21"/>
      <c r="L280" s="39"/>
    </row>
    <row r="281" spans="1:12" ht="13.2" customHeight="1" x14ac:dyDescent="0.3">
      <c r="A281" s="38"/>
      <c r="I281" s="36"/>
      <c r="J281" s="36"/>
      <c r="K281" s="21"/>
      <c r="L281" s="39"/>
    </row>
    <row r="282" spans="1:12" ht="13.2" customHeight="1" x14ac:dyDescent="0.3">
      <c r="A282" s="38"/>
      <c r="I282" s="36"/>
      <c r="J282" s="36"/>
      <c r="K282" s="21"/>
      <c r="L282" s="39"/>
    </row>
    <row r="283" spans="1:12" ht="13.2" customHeight="1" x14ac:dyDescent="0.3">
      <c r="A283" s="38"/>
      <c r="I283" s="36"/>
      <c r="J283" s="36"/>
      <c r="K283" s="21"/>
      <c r="L283" s="39"/>
    </row>
    <row r="284" spans="1:12" ht="13.2" customHeight="1" x14ac:dyDescent="0.3">
      <c r="A284" s="38"/>
      <c r="I284" s="36"/>
      <c r="J284" s="36"/>
      <c r="K284" s="21"/>
      <c r="L284" s="39"/>
    </row>
    <row r="285" spans="1:12" ht="13.2" customHeight="1" x14ac:dyDescent="0.3">
      <c r="A285" s="38"/>
      <c r="I285" s="36"/>
      <c r="J285" s="36"/>
      <c r="K285" s="21"/>
      <c r="L285" s="39"/>
    </row>
    <row r="286" spans="1:12" ht="13.2" customHeight="1" x14ac:dyDescent="0.3">
      <c r="A286" s="38"/>
      <c r="I286" s="36"/>
      <c r="J286" s="36"/>
      <c r="K286" s="21"/>
      <c r="L286" s="39"/>
    </row>
    <row r="287" spans="1:12" ht="13.2" customHeight="1" x14ac:dyDescent="0.3">
      <c r="A287" s="38"/>
      <c r="I287" s="36"/>
      <c r="J287" s="36"/>
      <c r="K287" s="21"/>
      <c r="L287" s="39"/>
    </row>
    <row r="288" spans="1:12" ht="13.2" customHeight="1" x14ac:dyDescent="0.3">
      <c r="A288" s="38"/>
      <c r="I288" s="36"/>
      <c r="J288" s="36"/>
      <c r="K288" s="21"/>
      <c r="L288" s="39"/>
    </row>
    <row r="289" spans="1:12" ht="13.2" customHeight="1" x14ac:dyDescent="0.3">
      <c r="A289" s="38"/>
      <c r="I289" s="36"/>
      <c r="J289" s="36"/>
      <c r="K289" s="21"/>
      <c r="L289" s="39"/>
    </row>
    <row r="290" spans="1:12" ht="13.2" customHeight="1" x14ac:dyDescent="0.3">
      <c r="A290" s="38"/>
      <c r="I290" s="36"/>
      <c r="J290" s="36"/>
      <c r="K290" s="21"/>
      <c r="L290" s="39"/>
    </row>
    <row r="291" spans="1:12" ht="13.2" customHeight="1" x14ac:dyDescent="0.3">
      <c r="A291" s="38"/>
      <c r="I291" s="36"/>
      <c r="J291" s="36"/>
      <c r="K291" s="21"/>
      <c r="L291" s="39"/>
    </row>
    <row r="292" spans="1:12" ht="13.2" customHeight="1" x14ac:dyDescent="0.3">
      <c r="A292" s="38"/>
      <c r="I292" s="36"/>
      <c r="J292" s="36"/>
      <c r="K292" s="21"/>
      <c r="L292" s="39"/>
    </row>
    <row r="293" spans="1:12" ht="13.2" customHeight="1" x14ac:dyDescent="0.3">
      <c r="A293" s="38"/>
      <c r="I293" s="36"/>
      <c r="J293" s="36"/>
      <c r="K293" s="21"/>
      <c r="L293" s="39"/>
    </row>
    <row r="294" spans="1:12" ht="13.2" customHeight="1" x14ac:dyDescent="0.3">
      <c r="A294" s="38"/>
      <c r="I294" s="36"/>
      <c r="J294" s="36"/>
      <c r="K294" s="21"/>
      <c r="L294" s="39"/>
    </row>
    <row r="295" spans="1:12" ht="13.2" customHeight="1" x14ac:dyDescent="0.3">
      <c r="A295" s="38"/>
      <c r="I295" s="36"/>
      <c r="J295" s="36"/>
      <c r="K295" s="21"/>
      <c r="L295" s="39"/>
    </row>
    <row r="296" spans="1:12" ht="13.2" customHeight="1" x14ac:dyDescent="0.3">
      <c r="A296" s="38"/>
      <c r="I296" s="36"/>
      <c r="J296" s="36"/>
      <c r="K296" s="21"/>
      <c r="L296" s="39"/>
    </row>
    <row r="297" spans="1:12" ht="13.2" customHeight="1" x14ac:dyDescent="0.3">
      <c r="A297" s="38"/>
      <c r="I297" s="36"/>
      <c r="J297" s="36"/>
      <c r="K297" s="21"/>
      <c r="L297" s="39"/>
    </row>
    <row r="298" spans="1:12" ht="13.2" customHeight="1" x14ac:dyDescent="0.3">
      <c r="A298" s="38"/>
      <c r="I298" s="36"/>
      <c r="J298" s="36"/>
      <c r="K298" s="21"/>
      <c r="L298" s="39"/>
    </row>
    <row r="299" spans="1:12" ht="13.2" customHeight="1" x14ac:dyDescent="0.3">
      <c r="A299" s="38"/>
      <c r="I299" s="36"/>
      <c r="J299" s="36"/>
      <c r="K299" s="21"/>
      <c r="L299" s="39"/>
    </row>
    <row r="300" spans="1:12" ht="13.2" customHeight="1" x14ac:dyDescent="0.3">
      <c r="A300" s="38"/>
      <c r="I300" s="36"/>
      <c r="J300" s="36"/>
      <c r="K300" s="21"/>
      <c r="L300" s="39"/>
    </row>
    <row r="301" spans="1:12" ht="13.2" customHeight="1" x14ac:dyDescent="0.3">
      <c r="A301" s="38"/>
      <c r="I301" s="36"/>
      <c r="J301" s="36"/>
      <c r="K301" s="21"/>
      <c r="L301" s="39"/>
    </row>
    <row r="302" spans="1:12" ht="13.2" customHeight="1" x14ac:dyDescent="0.3">
      <c r="A302" s="38"/>
      <c r="I302" s="36"/>
      <c r="J302" s="36"/>
      <c r="K302" s="21"/>
      <c r="L302" s="39"/>
    </row>
    <row r="303" spans="1:12" ht="13.2" customHeight="1" x14ac:dyDescent="0.3">
      <c r="A303" s="38"/>
      <c r="I303" s="36"/>
      <c r="J303" s="36"/>
      <c r="K303" s="21"/>
      <c r="L303" s="39"/>
    </row>
    <row r="304" spans="1:12" ht="13.2" customHeight="1" x14ac:dyDescent="0.3">
      <c r="A304" s="38"/>
      <c r="I304" s="36"/>
      <c r="J304" s="36"/>
      <c r="K304" s="21"/>
      <c r="L304" s="39"/>
    </row>
    <row r="305" spans="1:12" ht="13.2" customHeight="1" x14ac:dyDescent="0.3">
      <c r="A305" s="38"/>
      <c r="I305" s="36"/>
      <c r="J305" s="36"/>
      <c r="K305" s="21"/>
      <c r="L305" s="39"/>
    </row>
    <row r="306" spans="1:12" ht="13.2" customHeight="1" x14ac:dyDescent="0.3">
      <c r="A306" s="38"/>
      <c r="I306" s="36"/>
      <c r="J306" s="36"/>
      <c r="K306" s="21"/>
      <c r="L306" s="39"/>
    </row>
    <row r="307" spans="1:12" ht="13.2" customHeight="1" x14ac:dyDescent="0.3">
      <c r="A307" s="38"/>
      <c r="I307" s="36"/>
      <c r="J307" s="36"/>
      <c r="K307" s="21"/>
      <c r="L307" s="39"/>
    </row>
    <row r="308" spans="1:12" ht="13.2" customHeight="1" x14ac:dyDescent="0.3">
      <c r="A308" s="38"/>
      <c r="I308" s="36"/>
      <c r="J308" s="36"/>
      <c r="K308" s="21"/>
      <c r="L308" s="39"/>
    </row>
    <row r="309" spans="1:12" ht="13.2" customHeight="1" x14ac:dyDescent="0.3">
      <c r="A309" s="38"/>
      <c r="I309" s="36"/>
      <c r="J309" s="36"/>
      <c r="K309" s="21"/>
      <c r="L309" s="39"/>
    </row>
    <row r="310" spans="1:12" ht="13.2" customHeight="1" x14ac:dyDescent="0.3">
      <c r="A310" s="38"/>
      <c r="I310" s="36"/>
      <c r="J310" s="36"/>
      <c r="K310" s="21"/>
      <c r="L310" s="39"/>
    </row>
    <row r="311" spans="1:12" ht="13.2" customHeight="1" x14ac:dyDescent="0.3">
      <c r="A311" s="38"/>
      <c r="I311" s="36"/>
      <c r="J311" s="36"/>
      <c r="K311" s="21"/>
      <c r="L311" s="39"/>
    </row>
    <row r="312" spans="1:12" ht="13.2" customHeight="1" x14ac:dyDescent="0.3">
      <c r="A312" s="38"/>
      <c r="I312" s="36"/>
      <c r="J312" s="36"/>
      <c r="K312" s="21"/>
      <c r="L312" s="39"/>
    </row>
    <row r="313" spans="1:12" ht="13.2" customHeight="1" x14ac:dyDescent="0.3">
      <c r="A313" s="38"/>
      <c r="I313" s="36"/>
      <c r="J313" s="36"/>
      <c r="K313" s="21"/>
      <c r="L313" s="39"/>
    </row>
    <row r="314" spans="1:12" ht="13.2" customHeight="1" x14ac:dyDescent="0.3">
      <c r="A314" s="38"/>
      <c r="I314" s="36"/>
      <c r="J314" s="36"/>
      <c r="K314" s="21"/>
      <c r="L314" s="39"/>
    </row>
    <row r="315" spans="1:12" ht="13.2" customHeight="1" x14ac:dyDescent="0.3">
      <c r="A315" s="38"/>
      <c r="I315" s="36"/>
      <c r="J315" s="36"/>
      <c r="K315" s="21"/>
      <c r="L315" s="39"/>
    </row>
    <row r="316" spans="1:12" ht="13.2" customHeight="1" x14ac:dyDescent="0.3">
      <c r="A316" s="38"/>
      <c r="I316" s="36"/>
      <c r="J316" s="36"/>
      <c r="K316" s="21"/>
      <c r="L316" s="39"/>
    </row>
    <row r="317" spans="1:12" ht="13.2" customHeight="1" x14ac:dyDescent="0.3">
      <c r="A317" s="38"/>
      <c r="I317" s="36"/>
      <c r="J317" s="36"/>
      <c r="K317" s="21"/>
      <c r="L317" s="39"/>
    </row>
    <row r="318" spans="1:12" ht="13.2" customHeight="1" x14ac:dyDescent="0.3">
      <c r="A318" s="38"/>
      <c r="I318" s="36"/>
      <c r="J318" s="36"/>
      <c r="K318" s="21"/>
      <c r="L318" s="39"/>
    </row>
    <row r="319" spans="1:12" ht="13.2" customHeight="1" x14ac:dyDescent="0.3">
      <c r="A319" s="38"/>
      <c r="I319" s="36"/>
      <c r="J319" s="36"/>
      <c r="K319" s="21"/>
      <c r="L319" s="39"/>
    </row>
    <row r="320" spans="1:12" ht="13.2" customHeight="1" x14ac:dyDescent="0.3">
      <c r="A320" s="38"/>
      <c r="I320" s="36"/>
      <c r="J320" s="36"/>
      <c r="K320" s="21"/>
      <c r="L320" s="39"/>
    </row>
    <row r="321" spans="1:12" ht="13.2" customHeight="1" x14ac:dyDescent="0.3">
      <c r="A321" s="38"/>
      <c r="I321" s="36"/>
      <c r="J321" s="36"/>
      <c r="K321" s="21"/>
      <c r="L321" s="39"/>
    </row>
    <row r="322" spans="1:12" ht="13.2" customHeight="1" x14ac:dyDescent="0.3">
      <c r="A322" s="38"/>
      <c r="I322" s="36"/>
      <c r="J322" s="36"/>
      <c r="K322" s="21"/>
      <c r="L322" s="39"/>
    </row>
    <row r="323" spans="1:12" ht="13.2" customHeight="1" x14ac:dyDescent="0.3">
      <c r="A323" s="38"/>
      <c r="I323" s="36"/>
      <c r="J323" s="36"/>
      <c r="K323" s="21"/>
      <c r="L323" s="39"/>
    </row>
    <row r="324" spans="1:12" ht="13.2" customHeight="1" x14ac:dyDescent="0.3">
      <c r="A324" s="38"/>
      <c r="I324" s="36"/>
      <c r="J324" s="36"/>
      <c r="K324" s="21"/>
      <c r="L324" s="39"/>
    </row>
    <row r="325" spans="1:12" ht="13.2" customHeight="1" x14ac:dyDescent="0.3">
      <c r="A325" s="38"/>
      <c r="I325" s="36"/>
      <c r="J325" s="36"/>
      <c r="K325" s="21"/>
      <c r="L325" s="39"/>
    </row>
    <row r="326" spans="1:12" ht="13.2" customHeight="1" x14ac:dyDescent="0.3">
      <c r="A326" s="38"/>
      <c r="I326" s="36"/>
      <c r="J326" s="36"/>
      <c r="K326" s="21"/>
      <c r="L326" s="39"/>
    </row>
    <row r="327" spans="1:12" ht="13.2" customHeight="1" x14ac:dyDescent="0.3">
      <c r="A327" s="38"/>
      <c r="I327" s="36"/>
      <c r="J327" s="36"/>
      <c r="K327" s="21"/>
      <c r="L327" s="39"/>
    </row>
    <row r="328" spans="1:12" ht="13.2" customHeight="1" x14ac:dyDescent="0.3">
      <c r="A328" s="38"/>
      <c r="I328" s="36"/>
      <c r="J328" s="36"/>
      <c r="K328" s="21"/>
      <c r="L328" s="39"/>
    </row>
    <row r="329" spans="1:12" ht="13.2" customHeight="1" x14ac:dyDescent="0.3">
      <c r="A329" s="38"/>
      <c r="I329" s="36"/>
      <c r="J329" s="36"/>
      <c r="K329" s="21"/>
      <c r="L329" s="39"/>
    </row>
    <row r="330" spans="1:12" ht="13.2" customHeight="1" x14ac:dyDescent="0.3">
      <c r="A330" s="38"/>
      <c r="I330" s="36"/>
      <c r="J330" s="36"/>
      <c r="K330" s="21"/>
      <c r="L330" s="39"/>
    </row>
    <row r="331" spans="1:12" ht="13.2" customHeight="1" x14ac:dyDescent="0.3">
      <c r="A331" s="38"/>
      <c r="I331" s="36"/>
      <c r="J331" s="36"/>
      <c r="K331" s="21"/>
      <c r="L331" s="39"/>
    </row>
    <row r="332" spans="1:12" ht="13.2" customHeight="1" x14ac:dyDescent="0.3">
      <c r="A332" s="38"/>
      <c r="I332" s="36"/>
      <c r="J332" s="36"/>
      <c r="K332" s="21"/>
      <c r="L332" s="39"/>
    </row>
    <row r="333" spans="1:12" ht="13.2" customHeight="1" x14ac:dyDescent="0.3">
      <c r="A333" s="38"/>
      <c r="I333" s="36"/>
      <c r="J333" s="36"/>
      <c r="K333" s="21"/>
      <c r="L333" s="39"/>
    </row>
    <row r="334" spans="1:12" ht="13.2" customHeight="1" x14ac:dyDescent="0.3">
      <c r="A334" s="38"/>
      <c r="I334" s="36"/>
      <c r="J334" s="36"/>
      <c r="K334" s="21"/>
      <c r="L334" s="39"/>
    </row>
    <row r="335" spans="1:12" ht="13.2" customHeight="1" x14ac:dyDescent="0.3">
      <c r="A335" s="38"/>
      <c r="I335" s="36"/>
      <c r="J335" s="36"/>
      <c r="K335" s="21"/>
      <c r="L335" s="39"/>
    </row>
    <row r="336" spans="1:12" ht="13.2" customHeight="1" x14ac:dyDescent="0.3">
      <c r="A336" s="38"/>
      <c r="I336" s="36"/>
      <c r="J336" s="36"/>
      <c r="K336" s="21"/>
      <c r="L336" s="39"/>
    </row>
    <row r="337" spans="1:12" ht="13.2" customHeight="1" x14ac:dyDescent="0.3">
      <c r="A337" s="38"/>
      <c r="I337" s="36"/>
      <c r="J337" s="36"/>
      <c r="K337" s="21"/>
      <c r="L337" s="39"/>
    </row>
    <row r="338" spans="1:12" ht="13.2" customHeight="1" x14ac:dyDescent="0.3">
      <c r="A338" s="38"/>
      <c r="I338" s="36"/>
      <c r="J338" s="36"/>
      <c r="K338" s="21"/>
      <c r="L338" s="39"/>
    </row>
    <row r="339" spans="1:12" ht="13.2" customHeight="1" x14ac:dyDescent="0.3">
      <c r="A339" s="38"/>
      <c r="I339" s="36"/>
      <c r="J339" s="36"/>
      <c r="K339" s="21"/>
      <c r="L339" s="39"/>
    </row>
    <row r="340" spans="1:12" ht="13.2" customHeight="1" x14ac:dyDescent="0.3">
      <c r="A340" s="38"/>
      <c r="I340" s="36"/>
      <c r="J340" s="36"/>
      <c r="K340" s="21"/>
      <c r="L340" s="39"/>
    </row>
    <row r="341" spans="1:12" ht="13.2" customHeight="1" x14ac:dyDescent="0.3">
      <c r="A341" s="38"/>
      <c r="I341" s="36"/>
      <c r="J341" s="36"/>
      <c r="K341" s="21"/>
      <c r="L341" s="39"/>
    </row>
    <row r="342" spans="1:12" ht="13.2" customHeight="1" x14ac:dyDescent="0.3">
      <c r="A342" s="38"/>
      <c r="I342" s="36"/>
      <c r="J342" s="36"/>
      <c r="K342" s="21"/>
      <c r="L342" s="39"/>
    </row>
    <row r="343" spans="1:12" ht="13.2" customHeight="1" x14ac:dyDescent="0.3">
      <c r="A343" s="38"/>
      <c r="I343" s="36"/>
      <c r="J343" s="36"/>
      <c r="K343" s="21"/>
      <c r="L343" s="39"/>
    </row>
    <row r="344" spans="1:12" ht="13.2" customHeight="1" x14ac:dyDescent="0.3">
      <c r="A344" s="38"/>
      <c r="I344" s="36"/>
      <c r="J344" s="36"/>
      <c r="K344" s="21"/>
      <c r="L344" s="39"/>
    </row>
    <row r="345" spans="1:12" ht="13.2" customHeight="1" x14ac:dyDescent="0.3">
      <c r="A345" s="38"/>
      <c r="I345" s="36"/>
      <c r="J345" s="36"/>
      <c r="K345" s="21"/>
      <c r="L345" s="39"/>
    </row>
    <row r="346" spans="1:12" ht="13.2" customHeight="1" x14ac:dyDescent="0.3">
      <c r="A346" s="38"/>
      <c r="I346" s="36"/>
      <c r="J346" s="36"/>
      <c r="K346" s="21"/>
      <c r="L346" s="39"/>
    </row>
    <row r="347" spans="1:12" ht="13.2" customHeight="1" x14ac:dyDescent="0.3">
      <c r="A347" s="38"/>
      <c r="I347" s="36"/>
      <c r="J347" s="36"/>
      <c r="K347" s="21"/>
      <c r="L347" s="39"/>
    </row>
    <row r="348" spans="1:12" ht="13.2" customHeight="1" x14ac:dyDescent="0.3">
      <c r="A348" s="38"/>
      <c r="I348" s="36"/>
      <c r="J348" s="36"/>
      <c r="K348" s="21"/>
      <c r="L348" s="39"/>
    </row>
    <row r="349" spans="1:12" ht="13.2" customHeight="1" x14ac:dyDescent="0.3">
      <c r="A349" s="38"/>
      <c r="I349" s="36"/>
      <c r="J349" s="36"/>
      <c r="K349" s="21"/>
      <c r="L349" s="39"/>
    </row>
    <row r="350" spans="1:12" ht="13.2" customHeight="1" x14ac:dyDescent="0.3">
      <c r="A350" s="38"/>
      <c r="I350" s="36"/>
      <c r="J350" s="36"/>
      <c r="K350" s="21"/>
      <c r="L350" s="39"/>
    </row>
    <row r="351" spans="1:12" ht="13.2" customHeight="1" x14ac:dyDescent="0.3">
      <c r="A351" s="38"/>
      <c r="I351" s="36"/>
      <c r="J351" s="36"/>
      <c r="K351" s="21"/>
      <c r="L351" s="39"/>
    </row>
    <row r="352" spans="1:12" ht="13.2" customHeight="1" x14ac:dyDescent="0.3">
      <c r="A352" s="38"/>
      <c r="I352" s="36"/>
      <c r="J352" s="36"/>
      <c r="K352" s="21"/>
      <c r="L352" s="39"/>
    </row>
    <row r="353" spans="1:12" ht="13.2" customHeight="1" x14ac:dyDescent="0.3">
      <c r="A353" s="38"/>
      <c r="I353" s="36"/>
      <c r="J353" s="36"/>
      <c r="K353" s="21"/>
      <c r="L353" s="39"/>
    </row>
    <row r="354" spans="1:12" ht="13.2" customHeight="1" x14ac:dyDescent="0.3">
      <c r="A354" s="38"/>
      <c r="I354" s="36"/>
      <c r="J354" s="36"/>
      <c r="K354" s="21"/>
      <c r="L354" s="39"/>
    </row>
    <row r="355" spans="1:12" ht="13.2" customHeight="1" x14ac:dyDescent="0.3">
      <c r="A355" s="38"/>
      <c r="I355" s="36"/>
      <c r="J355" s="36"/>
      <c r="K355" s="21"/>
      <c r="L355" s="39"/>
    </row>
    <row r="356" spans="1:12" ht="13.2" customHeight="1" x14ac:dyDescent="0.3">
      <c r="A356" s="38"/>
      <c r="I356" s="36"/>
      <c r="J356" s="36"/>
      <c r="K356" s="21"/>
      <c r="L356" s="39"/>
    </row>
    <row r="357" spans="1:12" ht="13.2" customHeight="1" x14ac:dyDescent="0.3">
      <c r="A357" s="38"/>
      <c r="I357" s="36"/>
      <c r="J357" s="36"/>
      <c r="K357" s="21"/>
      <c r="L357" s="39"/>
    </row>
    <row r="358" spans="1:12" ht="13.2" customHeight="1" x14ac:dyDescent="0.3">
      <c r="A358" s="38"/>
      <c r="I358" s="36"/>
      <c r="J358" s="36"/>
      <c r="K358" s="21"/>
      <c r="L358" s="39"/>
    </row>
    <row r="359" spans="1:12" ht="13.2" customHeight="1" x14ac:dyDescent="0.3">
      <c r="A359" s="38"/>
      <c r="I359" s="36"/>
      <c r="J359" s="36"/>
      <c r="K359" s="21"/>
      <c r="L359" s="39"/>
    </row>
    <row r="360" spans="1:12" ht="13.2" customHeight="1" x14ac:dyDescent="0.3">
      <c r="A360" s="38"/>
      <c r="I360" s="36"/>
      <c r="J360" s="36"/>
      <c r="K360" s="21"/>
      <c r="L360" s="39"/>
    </row>
    <row r="361" spans="1:12" ht="13.2" customHeight="1" x14ac:dyDescent="0.3">
      <c r="A361" s="38"/>
      <c r="I361" s="36"/>
      <c r="J361" s="36"/>
      <c r="K361" s="21"/>
      <c r="L361" s="39"/>
    </row>
    <row r="362" spans="1:12" ht="13.2" customHeight="1" x14ac:dyDescent="0.3">
      <c r="A362" s="38"/>
      <c r="I362" s="36"/>
      <c r="J362" s="36"/>
      <c r="K362" s="21"/>
      <c r="L362" s="39"/>
    </row>
    <row r="363" spans="1:12" ht="13.2" customHeight="1" x14ac:dyDescent="0.3">
      <c r="A363" s="38"/>
      <c r="I363" s="36"/>
      <c r="J363" s="36"/>
      <c r="K363" s="21"/>
      <c r="L363" s="39"/>
    </row>
    <row r="364" spans="1:12" ht="13.2" customHeight="1" x14ac:dyDescent="0.3">
      <c r="A364" s="38"/>
      <c r="I364" s="36"/>
      <c r="J364" s="36"/>
      <c r="K364" s="21"/>
      <c r="L364" s="39"/>
    </row>
    <row r="365" spans="1:12" ht="13.2" customHeight="1" x14ac:dyDescent="0.3">
      <c r="A365" s="38"/>
      <c r="I365" s="36"/>
      <c r="J365" s="36"/>
      <c r="K365" s="21"/>
      <c r="L365" s="39"/>
    </row>
    <row r="366" spans="1:12" ht="13.2" customHeight="1" x14ac:dyDescent="0.3">
      <c r="A366" s="38"/>
      <c r="I366" s="36"/>
      <c r="J366" s="36"/>
      <c r="K366" s="21"/>
      <c r="L366" s="39"/>
    </row>
    <row r="367" spans="1:12" ht="13.2" customHeight="1" x14ac:dyDescent="0.3">
      <c r="A367" s="38"/>
      <c r="I367" s="36"/>
      <c r="J367" s="36"/>
      <c r="K367" s="21"/>
      <c r="L367" s="39"/>
    </row>
    <row r="368" spans="1:12" ht="13.2" customHeight="1" x14ac:dyDescent="0.3">
      <c r="A368" s="38"/>
      <c r="I368" s="36"/>
      <c r="J368" s="36"/>
      <c r="K368" s="21"/>
      <c r="L368" s="39"/>
    </row>
    <row r="369" spans="1:12" ht="13.2" customHeight="1" x14ac:dyDescent="0.3">
      <c r="A369" s="38"/>
      <c r="I369" s="36"/>
      <c r="J369" s="36"/>
      <c r="K369" s="21"/>
      <c r="L369" s="39"/>
    </row>
    <row r="370" spans="1:12" ht="13.2" customHeight="1" x14ac:dyDescent="0.3">
      <c r="A370" s="38"/>
      <c r="I370" s="36"/>
      <c r="J370" s="36"/>
      <c r="K370" s="21"/>
      <c r="L370" s="39"/>
    </row>
    <row r="371" spans="1:12" ht="13.2" customHeight="1" x14ac:dyDescent="0.3">
      <c r="A371" s="38"/>
      <c r="I371" s="36"/>
      <c r="J371" s="36"/>
      <c r="K371" s="21"/>
      <c r="L371" s="39"/>
    </row>
    <row r="372" spans="1:12" ht="13.2" customHeight="1" x14ac:dyDescent="0.3">
      <c r="A372" s="38"/>
      <c r="I372" s="36"/>
      <c r="J372" s="36"/>
      <c r="K372" s="21"/>
      <c r="L372" s="39"/>
    </row>
    <row r="373" spans="1:12" ht="13.2" customHeight="1" x14ac:dyDescent="0.3">
      <c r="A373" s="38"/>
      <c r="I373" s="36"/>
      <c r="J373" s="36"/>
      <c r="K373" s="21"/>
      <c r="L373" s="39"/>
    </row>
    <row r="374" spans="1:12" ht="13.2" customHeight="1" x14ac:dyDescent="0.3">
      <c r="A374" s="38"/>
      <c r="I374" s="36"/>
      <c r="J374" s="36"/>
      <c r="K374" s="21"/>
      <c r="L374" s="39"/>
    </row>
    <row r="375" spans="1:12" ht="13.2" customHeight="1" x14ac:dyDescent="0.3">
      <c r="A375" s="38"/>
      <c r="I375" s="36"/>
      <c r="J375" s="36"/>
      <c r="K375" s="21"/>
      <c r="L375" s="39"/>
    </row>
    <row r="376" spans="1:12" ht="13.2" customHeight="1" x14ac:dyDescent="0.3">
      <c r="A376" s="38"/>
      <c r="I376" s="36"/>
      <c r="J376" s="36"/>
      <c r="K376" s="21"/>
      <c r="L376" s="39"/>
    </row>
    <row r="377" spans="1:12" ht="13.2" customHeight="1" x14ac:dyDescent="0.3">
      <c r="A377" s="38"/>
      <c r="I377" s="36"/>
      <c r="J377" s="36"/>
      <c r="K377" s="21"/>
      <c r="L377" s="39"/>
    </row>
    <row r="378" spans="1:12" ht="13.2" customHeight="1" x14ac:dyDescent="0.3">
      <c r="A378" s="38"/>
      <c r="I378" s="36"/>
      <c r="J378" s="36"/>
      <c r="K378" s="21"/>
      <c r="L378" s="39"/>
    </row>
    <row r="379" spans="1:12" ht="13.2" customHeight="1" x14ac:dyDescent="0.3">
      <c r="A379" s="38"/>
      <c r="I379" s="36"/>
      <c r="J379" s="36"/>
      <c r="K379" s="21"/>
      <c r="L379" s="39"/>
    </row>
    <row r="380" spans="1:12" ht="13.2" customHeight="1" x14ac:dyDescent="0.3">
      <c r="A380" s="38"/>
      <c r="I380" s="36"/>
      <c r="J380" s="36"/>
      <c r="K380" s="21"/>
      <c r="L380" s="39"/>
    </row>
    <row r="381" spans="1:12" ht="13.2" customHeight="1" x14ac:dyDescent="0.3">
      <c r="A381" s="38"/>
      <c r="I381" s="36"/>
      <c r="J381" s="36"/>
      <c r="K381" s="21"/>
      <c r="L381" s="39"/>
    </row>
    <row r="382" spans="1:12" ht="13.2" customHeight="1" x14ac:dyDescent="0.3">
      <c r="A382" s="38"/>
      <c r="I382" s="36"/>
      <c r="J382" s="36"/>
      <c r="K382" s="21"/>
      <c r="L382" s="39"/>
    </row>
    <row r="383" spans="1:12" ht="13.2" customHeight="1" x14ac:dyDescent="0.3">
      <c r="A383" s="38"/>
      <c r="I383" s="36"/>
      <c r="J383" s="36"/>
      <c r="K383" s="21"/>
      <c r="L383" s="39"/>
    </row>
    <row r="384" spans="1:12" ht="13.2" customHeight="1" x14ac:dyDescent="0.3">
      <c r="A384" s="38"/>
      <c r="I384" s="36"/>
      <c r="J384" s="36"/>
      <c r="K384" s="21"/>
      <c r="L384" s="39"/>
    </row>
    <row r="385" spans="1:12" ht="13.2" customHeight="1" x14ac:dyDescent="0.3">
      <c r="A385" s="38"/>
      <c r="I385" s="36"/>
      <c r="J385" s="36"/>
      <c r="K385" s="21"/>
      <c r="L385" s="39"/>
    </row>
    <row r="386" spans="1:12" ht="13.2" customHeight="1" x14ac:dyDescent="0.3">
      <c r="A386" s="38"/>
      <c r="I386" s="36"/>
      <c r="J386" s="36"/>
      <c r="K386" s="21"/>
      <c r="L386" s="39"/>
    </row>
    <row r="387" spans="1:12" ht="13.2" customHeight="1" x14ac:dyDescent="0.3">
      <c r="A387" s="38"/>
      <c r="I387" s="36"/>
      <c r="J387" s="36"/>
      <c r="K387" s="21"/>
      <c r="L387" s="39"/>
    </row>
    <row r="388" spans="1:12" ht="13.2" customHeight="1" x14ac:dyDescent="0.3">
      <c r="A388" s="38"/>
      <c r="I388" s="36"/>
      <c r="J388" s="36"/>
      <c r="K388" s="21"/>
      <c r="L388" s="39"/>
    </row>
    <row r="389" spans="1:12" ht="13.2" customHeight="1" x14ac:dyDescent="0.3">
      <c r="A389" s="38"/>
      <c r="I389" s="36"/>
      <c r="J389" s="36"/>
      <c r="K389" s="21"/>
      <c r="L389" s="39"/>
    </row>
    <row r="390" spans="1:12" ht="13.2" customHeight="1" x14ac:dyDescent="0.3">
      <c r="A390" s="38"/>
      <c r="I390" s="36"/>
      <c r="J390" s="36"/>
      <c r="K390" s="21"/>
      <c r="L390" s="39"/>
    </row>
    <row r="391" spans="1:12" ht="13.2" customHeight="1" x14ac:dyDescent="0.3">
      <c r="A391" s="38"/>
      <c r="I391" s="36"/>
      <c r="J391" s="36"/>
      <c r="K391" s="21"/>
      <c r="L391" s="39"/>
    </row>
    <row r="392" spans="1:12" ht="13.2" customHeight="1" x14ac:dyDescent="0.3">
      <c r="A392" s="38"/>
      <c r="I392" s="36"/>
      <c r="J392" s="36"/>
      <c r="K392" s="21"/>
      <c r="L392" s="39"/>
    </row>
    <row r="393" spans="1:12" ht="13.2" customHeight="1" x14ac:dyDescent="0.3">
      <c r="A393" s="38"/>
      <c r="I393" s="36"/>
      <c r="J393" s="36"/>
      <c r="K393" s="21"/>
      <c r="L393" s="39"/>
    </row>
    <row r="394" spans="1:12" ht="13.2" customHeight="1" x14ac:dyDescent="0.3">
      <c r="A394" s="38"/>
      <c r="I394" s="36"/>
      <c r="J394" s="36"/>
      <c r="K394" s="21"/>
      <c r="L394" s="39"/>
    </row>
    <row r="395" spans="1:12" ht="13.2" customHeight="1" x14ac:dyDescent="0.3">
      <c r="A395" s="38"/>
      <c r="I395" s="36"/>
      <c r="J395" s="36"/>
      <c r="K395" s="21"/>
      <c r="L395" s="39"/>
    </row>
    <row r="396" spans="1:12" ht="13.2" customHeight="1" x14ac:dyDescent="0.3">
      <c r="A396" s="38"/>
      <c r="I396" s="36"/>
      <c r="J396" s="36"/>
      <c r="K396" s="21"/>
      <c r="L396" s="39"/>
    </row>
    <row r="397" spans="1:12" ht="13.2" customHeight="1" x14ac:dyDescent="0.3">
      <c r="A397" s="38"/>
      <c r="I397" s="36"/>
      <c r="J397" s="36"/>
      <c r="K397" s="21"/>
      <c r="L397" s="39"/>
    </row>
    <row r="398" spans="1:12" ht="13.2" customHeight="1" x14ac:dyDescent="0.3">
      <c r="A398" s="38"/>
      <c r="I398" s="36"/>
      <c r="J398" s="36"/>
      <c r="K398" s="21"/>
      <c r="L398" s="39"/>
    </row>
    <row r="399" spans="1:12" ht="13.2" customHeight="1" x14ac:dyDescent="0.3">
      <c r="A399" s="38"/>
      <c r="I399" s="36"/>
      <c r="J399" s="36"/>
      <c r="K399" s="21"/>
      <c r="L399" s="39"/>
    </row>
    <row r="400" spans="1:12" ht="13.2" customHeight="1" x14ac:dyDescent="0.3">
      <c r="A400" s="38"/>
      <c r="I400" s="36"/>
      <c r="J400" s="36"/>
      <c r="K400" s="21"/>
      <c r="L400" s="39"/>
    </row>
    <row r="401" spans="1:12" ht="13.2" customHeight="1" x14ac:dyDescent="0.3">
      <c r="A401" s="38"/>
      <c r="I401" s="36"/>
      <c r="J401" s="36"/>
      <c r="K401" s="21"/>
      <c r="L401" s="39"/>
    </row>
    <row r="402" spans="1:12" ht="13.2" customHeight="1" x14ac:dyDescent="0.3">
      <c r="A402" s="38"/>
      <c r="I402" s="36"/>
      <c r="J402" s="36"/>
      <c r="K402" s="21"/>
      <c r="L402" s="39"/>
    </row>
    <row r="403" spans="1:12" ht="13.2" customHeight="1" x14ac:dyDescent="0.3">
      <c r="A403" s="38"/>
      <c r="I403" s="36"/>
      <c r="J403" s="36"/>
      <c r="K403" s="21"/>
      <c r="L403" s="39"/>
    </row>
    <row r="404" spans="1:12" ht="13.2" customHeight="1" x14ac:dyDescent="0.3">
      <c r="A404" s="38"/>
      <c r="I404" s="36"/>
      <c r="J404" s="36"/>
      <c r="K404" s="21"/>
      <c r="L404" s="39"/>
    </row>
    <row r="405" spans="1:12" ht="13.2" customHeight="1" x14ac:dyDescent="0.3">
      <c r="A405" s="38"/>
      <c r="I405" s="36"/>
      <c r="J405" s="36"/>
      <c r="K405" s="21"/>
      <c r="L405" s="39"/>
    </row>
    <row r="406" spans="1:12" ht="13.2" customHeight="1" x14ac:dyDescent="0.3">
      <c r="A406" s="38"/>
      <c r="I406" s="36"/>
      <c r="J406" s="36"/>
      <c r="K406" s="21"/>
      <c r="L406" s="39"/>
    </row>
    <row r="407" spans="1:12" ht="13.2" customHeight="1" x14ac:dyDescent="0.3">
      <c r="A407" s="38"/>
      <c r="I407" s="36"/>
      <c r="J407" s="36"/>
      <c r="K407" s="21"/>
      <c r="L407" s="39"/>
    </row>
    <row r="408" spans="1:12" ht="13.2" customHeight="1" x14ac:dyDescent="0.3">
      <c r="A408" s="38"/>
      <c r="I408" s="36"/>
      <c r="J408" s="36"/>
      <c r="K408" s="21"/>
      <c r="L408" s="39"/>
    </row>
    <row r="409" spans="1:12" ht="13.2" customHeight="1" x14ac:dyDescent="0.3">
      <c r="A409" s="38"/>
      <c r="I409" s="36"/>
      <c r="J409" s="36"/>
      <c r="K409" s="21"/>
      <c r="L409" s="39"/>
    </row>
    <row r="410" spans="1:12" ht="13.2" customHeight="1" x14ac:dyDescent="0.3">
      <c r="A410" s="38"/>
      <c r="I410" s="36"/>
      <c r="J410" s="36"/>
      <c r="K410" s="21"/>
      <c r="L410" s="39"/>
    </row>
    <row r="411" spans="1:12" ht="13.2" customHeight="1" x14ac:dyDescent="0.3">
      <c r="A411" s="38"/>
      <c r="I411" s="36"/>
      <c r="J411" s="36"/>
      <c r="K411" s="21"/>
      <c r="L411" s="39"/>
    </row>
    <row r="412" spans="1:12" ht="13.2" customHeight="1" x14ac:dyDescent="0.3">
      <c r="A412" s="38"/>
      <c r="I412" s="36"/>
      <c r="J412" s="36"/>
      <c r="K412" s="21"/>
      <c r="L412" s="39"/>
    </row>
    <row r="413" spans="1:12" ht="13.2" customHeight="1" x14ac:dyDescent="0.3">
      <c r="A413" s="38"/>
      <c r="I413" s="36"/>
      <c r="J413" s="36"/>
      <c r="K413" s="21"/>
      <c r="L413" s="39"/>
    </row>
    <row r="414" spans="1:12" ht="13.2" customHeight="1" x14ac:dyDescent="0.3">
      <c r="A414" s="38"/>
      <c r="I414" s="36"/>
      <c r="J414" s="36"/>
      <c r="K414" s="21"/>
      <c r="L414" s="39"/>
    </row>
    <row r="415" spans="1:12" ht="13.2" customHeight="1" x14ac:dyDescent="0.3">
      <c r="A415" s="38"/>
      <c r="I415" s="36"/>
      <c r="J415" s="36"/>
      <c r="K415" s="21"/>
      <c r="L415" s="39"/>
    </row>
    <row r="416" spans="1:12" ht="13.2" customHeight="1" x14ac:dyDescent="0.3">
      <c r="A416" s="38"/>
      <c r="I416" s="36"/>
      <c r="J416" s="36"/>
      <c r="K416" s="21"/>
      <c r="L416" s="39"/>
    </row>
    <row r="417" spans="1:12" ht="13.2" customHeight="1" x14ac:dyDescent="0.3">
      <c r="A417" s="38"/>
      <c r="I417" s="36"/>
      <c r="J417" s="36"/>
      <c r="K417" s="21"/>
      <c r="L417" s="39"/>
    </row>
    <row r="418" spans="1:12" ht="13.2" customHeight="1" x14ac:dyDescent="0.3">
      <c r="A418" s="38"/>
      <c r="I418" s="36"/>
      <c r="J418" s="36"/>
      <c r="K418" s="21"/>
      <c r="L418" s="39"/>
    </row>
    <row r="419" spans="1:12" ht="13.2" customHeight="1" x14ac:dyDescent="0.3">
      <c r="A419" s="38"/>
      <c r="I419" s="36"/>
      <c r="J419" s="36"/>
      <c r="K419" s="21"/>
      <c r="L419" s="39"/>
    </row>
    <row r="420" spans="1:12" ht="13.2" customHeight="1" x14ac:dyDescent="0.3">
      <c r="A420" s="38"/>
      <c r="I420" s="36"/>
      <c r="J420" s="36"/>
      <c r="K420" s="21"/>
      <c r="L420" s="39"/>
    </row>
    <row r="421" spans="1:12" ht="13.2" customHeight="1" x14ac:dyDescent="0.3">
      <c r="A421" s="38"/>
      <c r="I421" s="36"/>
      <c r="J421" s="36"/>
      <c r="K421" s="21"/>
      <c r="L421" s="39"/>
    </row>
    <row r="422" spans="1:12" ht="13.2" customHeight="1" x14ac:dyDescent="0.3">
      <c r="A422" s="38"/>
      <c r="I422" s="36"/>
      <c r="J422" s="36"/>
      <c r="K422" s="21"/>
      <c r="L422" s="39"/>
    </row>
    <row r="423" spans="1:12" ht="13.2" customHeight="1" x14ac:dyDescent="0.3">
      <c r="A423" s="38"/>
      <c r="I423" s="36"/>
      <c r="J423" s="36"/>
      <c r="K423" s="21"/>
      <c r="L423" s="39"/>
    </row>
    <row r="424" spans="1:12" ht="13.2" customHeight="1" x14ac:dyDescent="0.3">
      <c r="A424" s="38"/>
      <c r="I424" s="36"/>
      <c r="J424" s="36"/>
      <c r="K424" s="21"/>
      <c r="L424" s="39"/>
    </row>
    <row r="425" spans="1:12" ht="13.2" customHeight="1" x14ac:dyDescent="0.3">
      <c r="A425" s="38"/>
      <c r="I425" s="36"/>
      <c r="J425" s="36"/>
      <c r="K425" s="21"/>
      <c r="L425" s="39"/>
    </row>
    <row r="426" spans="1:12" ht="13.2" customHeight="1" x14ac:dyDescent="0.3">
      <c r="A426" s="38"/>
      <c r="I426" s="36"/>
      <c r="J426" s="36"/>
      <c r="K426" s="21"/>
      <c r="L426" s="39"/>
    </row>
    <row r="427" spans="1:12" ht="13.2" customHeight="1" x14ac:dyDescent="0.3">
      <c r="A427" s="38"/>
      <c r="I427" s="36"/>
      <c r="J427" s="36"/>
      <c r="K427" s="21"/>
      <c r="L427" s="39"/>
    </row>
    <row r="428" spans="1:12" ht="13.2" customHeight="1" x14ac:dyDescent="0.3">
      <c r="A428" s="38"/>
      <c r="I428" s="36"/>
      <c r="J428" s="36"/>
      <c r="K428" s="21"/>
      <c r="L428" s="39"/>
    </row>
    <row r="429" spans="1:12" ht="13.2" customHeight="1" x14ac:dyDescent="0.3">
      <c r="A429" s="38"/>
      <c r="I429" s="36"/>
      <c r="J429" s="36"/>
      <c r="K429" s="21"/>
      <c r="L429" s="39"/>
    </row>
    <row r="430" spans="1:12" ht="13.2" customHeight="1" x14ac:dyDescent="0.3">
      <c r="A430" s="38"/>
      <c r="I430" s="36"/>
      <c r="J430" s="36"/>
      <c r="K430" s="21"/>
      <c r="L430" s="39"/>
    </row>
    <row r="431" spans="1:12" ht="13.2" customHeight="1" x14ac:dyDescent="0.3">
      <c r="A431" s="38"/>
      <c r="I431" s="36"/>
      <c r="J431" s="36"/>
      <c r="K431" s="21"/>
      <c r="L431" s="39"/>
    </row>
    <row r="432" spans="1:12" ht="13.2" customHeight="1" x14ac:dyDescent="0.3">
      <c r="A432" s="38"/>
      <c r="I432" s="36"/>
      <c r="J432" s="36"/>
      <c r="K432" s="21"/>
      <c r="L432" s="39"/>
    </row>
    <row r="433" spans="1:12" ht="13.2" customHeight="1" x14ac:dyDescent="0.3">
      <c r="A433" s="38"/>
      <c r="I433" s="36"/>
      <c r="J433" s="36"/>
      <c r="K433" s="21"/>
      <c r="L433" s="39"/>
    </row>
    <row r="434" spans="1:12" ht="13.2" customHeight="1" x14ac:dyDescent="0.3">
      <c r="A434" s="38"/>
      <c r="I434" s="36"/>
      <c r="J434" s="36"/>
      <c r="K434" s="21"/>
      <c r="L434" s="39"/>
    </row>
    <row r="435" spans="1:12" ht="13.2" customHeight="1" x14ac:dyDescent="0.3">
      <c r="A435" s="38"/>
      <c r="I435" s="36"/>
      <c r="J435" s="36"/>
      <c r="K435" s="21"/>
      <c r="L435" s="39"/>
    </row>
    <row r="436" spans="1:12" ht="13.2" customHeight="1" x14ac:dyDescent="0.3">
      <c r="A436" s="38"/>
      <c r="I436" s="36"/>
      <c r="J436" s="36"/>
      <c r="K436" s="21"/>
      <c r="L436" s="39"/>
    </row>
    <row r="437" spans="1:12" ht="13.2" customHeight="1" x14ac:dyDescent="0.3">
      <c r="A437" s="38"/>
      <c r="I437" s="36"/>
      <c r="J437" s="36"/>
      <c r="K437" s="21"/>
      <c r="L437" s="39"/>
    </row>
    <row r="438" spans="1:12" ht="13.2" customHeight="1" x14ac:dyDescent="0.3">
      <c r="A438" s="38"/>
      <c r="I438" s="36"/>
      <c r="J438" s="36"/>
      <c r="K438" s="21"/>
      <c r="L438" s="39"/>
    </row>
    <row r="439" spans="1:12" ht="13.2" customHeight="1" x14ac:dyDescent="0.3">
      <c r="A439" s="38"/>
      <c r="I439" s="36"/>
      <c r="J439" s="36"/>
      <c r="K439" s="21"/>
      <c r="L439" s="39"/>
    </row>
    <row r="440" spans="1:12" ht="13.2" customHeight="1" x14ac:dyDescent="0.3">
      <c r="A440" s="38"/>
      <c r="I440" s="36"/>
      <c r="J440" s="36"/>
      <c r="K440" s="21"/>
      <c r="L440" s="39"/>
    </row>
    <row r="441" spans="1:12" ht="13.2" customHeight="1" x14ac:dyDescent="0.3">
      <c r="A441" s="38"/>
      <c r="I441" s="36"/>
      <c r="J441" s="36"/>
      <c r="K441" s="21"/>
      <c r="L441" s="39"/>
    </row>
    <row r="442" spans="1:12" ht="13.2" customHeight="1" x14ac:dyDescent="0.3">
      <c r="A442" s="38"/>
      <c r="I442" s="36"/>
      <c r="J442" s="36"/>
      <c r="K442" s="21"/>
      <c r="L442" s="39"/>
    </row>
    <row r="443" spans="1:12" ht="13.2" customHeight="1" x14ac:dyDescent="0.3">
      <c r="A443" s="38"/>
      <c r="I443" s="36"/>
      <c r="J443" s="36"/>
      <c r="K443" s="21"/>
      <c r="L443" s="39"/>
    </row>
    <row r="444" spans="1:12" ht="13.2" customHeight="1" x14ac:dyDescent="0.3">
      <c r="A444" s="38"/>
      <c r="I444" s="36"/>
      <c r="J444" s="36"/>
      <c r="K444" s="21"/>
      <c r="L444" s="39"/>
    </row>
    <row r="445" spans="1:12" ht="13.2" customHeight="1" x14ac:dyDescent="0.3">
      <c r="A445" s="38"/>
      <c r="I445" s="36"/>
      <c r="J445" s="36"/>
      <c r="K445" s="21"/>
      <c r="L445" s="39"/>
    </row>
    <row r="446" spans="1:12" ht="13.2" customHeight="1" x14ac:dyDescent="0.3">
      <c r="A446" s="38"/>
      <c r="I446" s="36"/>
      <c r="J446" s="36"/>
      <c r="K446" s="21"/>
      <c r="L446" s="39"/>
    </row>
    <row r="447" spans="1:12" ht="13.2" customHeight="1" x14ac:dyDescent="0.3">
      <c r="A447" s="38"/>
      <c r="I447" s="36"/>
      <c r="J447" s="36"/>
      <c r="K447" s="21"/>
      <c r="L447" s="39"/>
    </row>
    <row r="448" spans="1:12" ht="13.2" customHeight="1" x14ac:dyDescent="0.3">
      <c r="A448" s="38"/>
      <c r="I448" s="36"/>
      <c r="J448" s="36"/>
      <c r="K448" s="21"/>
      <c r="L448" s="39"/>
    </row>
    <row r="449" spans="1:12" ht="13.2" customHeight="1" x14ac:dyDescent="0.3">
      <c r="A449" s="38"/>
      <c r="I449" s="36"/>
      <c r="J449" s="36"/>
      <c r="K449" s="21"/>
      <c r="L449" s="39"/>
    </row>
    <row r="450" spans="1:12" ht="13.2" customHeight="1" x14ac:dyDescent="0.3">
      <c r="A450" s="38"/>
      <c r="I450" s="36"/>
      <c r="J450" s="36"/>
      <c r="K450" s="21"/>
      <c r="L450" s="39"/>
    </row>
    <row r="451" spans="1:12" ht="13.2" customHeight="1" x14ac:dyDescent="0.3">
      <c r="A451" s="38"/>
      <c r="I451" s="36"/>
      <c r="J451" s="36"/>
      <c r="K451" s="21"/>
      <c r="L451" s="39"/>
    </row>
    <row r="452" spans="1:12" ht="13.2" customHeight="1" x14ac:dyDescent="0.3">
      <c r="A452" s="38"/>
      <c r="I452" s="36"/>
      <c r="J452" s="36"/>
      <c r="K452" s="21"/>
      <c r="L452" s="39"/>
    </row>
    <row r="453" spans="1:12" ht="13.2" customHeight="1" x14ac:dyDescent="0.3">
      <c r="A453" s="38"/>
      <c r="I453" s="36"/>
      <c r="J453" s="36"/>
      <c r="K453" s="21"/>
      <c r="L453" s="39"/>
    </row>
    <row r="454" spans="1:12" ht="13.2" customHeight="1" x14ac:dyDescent="0.3">
      <c r="A454" s="38"/>
      <c r="I454" s="36"/>
      <c r="J454" s="36"/>
      <c r="K454" s="21"/>
      <c r="L454" s="39"/>
    </row>
    <row r="455" spans="1:12" ht="13.2" customHeight="1" x14ac:dyDescent="0.3">
      <c r="A455" s="38"/>
      <c r="I455" s="36"/>
      <c r="J455" s="36"/>
      <c r="K455" s="21"/>
      <c r="L455" s="39"/>
    </row>
    <row r="456" spans="1:12" ht="13.2" customHeight="1" x14ac:dyDescent="0.3">
      <c r="A456" s="38"/>
      <c r="I456" s="36"/>
      <c r="J456" s="36"/>
      <c r="K456" s="21"/>
      <c r="L456" s="39"/>
    </row>
    <row r="457" spans="1:12" ht="13.2" customHeight="1" x14ac:dyDescent="0.3">
      <c r="A457" s="38"/>
      <c r="I457" s="36"/>
      <c r="J457" s="36"/>
      <c r="K457" s="21"/>
      <c r="L457" s="39"/>
    </row>
    <row r="458" spans="1:12" ht="13.2" customHeight="1" x14ac:dyDescent="0.3">
      <c r="A458" s="38"/>
      <c r="I458" s="36"/>
      <c r="J458" s="36"/>
      <c r="K458" s="21"/>
      <c r="L458" s="39"/>
    </row>
    <row r="459" spans="1:12" ht="13.2" customHeight="1" x14ac:dyDescent="0.3">
      <c r="A459" s="38"/>
      <c r="I459" s="36"/>
      <c r="J459" s="36"/>
      <c r="K459" s="21"/>
      <c r="L459" s="39"/>
    </row>
    <row r="460" spans="1:12" ht="13.2" customHeight="1" x14ac:dyDescent="0.3">
      <c r="A460" s="38"/>
      <c r="I460" s="36"/>
      <c r="J460" s="36"/>
      <c r="K460" s="21"/>
      <c r="L460" s="39"/>
    </row>
    <row r="461" spans="1:12" ht="13.2" customHeight="1" x14ac:dyDescent="0.3">
      <c r="A461" s="38"/>
      <c r="I461" s="36"/>
      <c r="J461" s="36"/>
      <c r="K461" s="21"/>
      <c r="L461" s="39"/>
    </row>
    <row r="462" spans="1:12" ht="13.2" customHeight="1" x14ac:dyDescent="0.3">
      <c r="A462" s="38"/>
      <c r="I462" s="36"/>
      <c r="J462" s="36"/>
      <c r="K462" s="21"/>
      <c r="L462" s="39"/>
    </row>
    <row r="463" spans="1:12" ht="13.2" customHeight="1" x14ac:dyDescent="0.3">
      <c r="A463" s="38"/>
      <c r="I463" s="36"/>
      <c r="J463" s="36"/>
      <c r="K463" s="21"/>
      <c r="L463" s="39"/>
    </row>
    <row r="464" spans="1:12" ht="13.2" customHeight="1" x14ac:dyDescent="0.3">
      <c r="A464" s="38"/>
      <c r="I464" s="36"/>
      <c r="J464" s="36"/>
      <c r="K464" s="21"/>
      <c r="L464" s="39"/>
    </row>
    <row r="465" spans="1:12" ht="13.2" customHeight="1" x14ac:dyDescent="0.3">
      <c r="A465" s="38"/>
      <c r="I465" s="36"/>
      <c r="J465" s="36"/>
      <c r="K465" s="21"/>
      <c r="L465" s="39"/>
    </row>
    <row r="466" spans="1:12" ht="13.2" customHeight="1" x14ac:dyDescent="0.3">
      <c r="A466" s="38"/>
      <c r="I466" s="36"/>
      <c r="J466" s="36"/>
      <c r="K466" s="21"/>
      <c r="L466" s="39"/>
    </row>
    <row r="467" spans="1:12" ht="13.2" customHeight="1" x14ac:dyDescent="0.3">
      <c r="A467" s="38"/>
      <c r="I467" s="36"/>
      <c r="J467" s="36"/>
      <c r="K467" s="21"/>
      <c r="L467" s="39"/>
    </row>
    <row r="468" spans="1:12" ht="13.2" customHeight="1" x14ac:dyDescent="0.3">
      <c r="A468" s="38"/>
      <c r="I468" s="36"/>
      <c r="J468" s="36"/>
      <c r="K468" s="21"/>
      <c r="L468" s="39"/>
    </row>
    <row r="469" spans="1:12" ht="13.2" customHeight="1" x14ac:dyDescent="0.3">
      <c r="A469" s="38"/>
      <c r="I469" s="36"/>
      <c r="J469" s="36"/>
      <c r="K469" s="21"/>
      <c r="L469" s="39"/>
    </row>
    <row r="470" spans="1:12" ht="13.2" customHeight="1" x14ac:dyDescent="0.3">
      <c r="A470" s="38"/>
      <c r="I470" s="36"/>
      <c r="J470" s="36"/>
      <c r="K470" s="21"/>
      <c r="L470" s="39"/>
    </row>
    <row r="471" spans="1:12" ht="13.2" customHeight="1" x14ac:dyDescent="0.3">
      <c r="A471" s="38"/>
      <c r="I471" s="36"/>
      <c r="J471" s="36"/>
      <c r="K471" s="21"/>
      <c r="L471" s="39"/>
    </row>
    <row r="472" spans="1:12" ht="13.2" customHeight="1" x14ac:dyDescent="0.3">
      <c r="A472" s="38"/>
      <c r="I472" s="36"/>
      <c r="J472" s="36"/>
      <c r="K472" s="21"/>
      <c r="L472" s="39"/>
    </row>
    <row r="473" spans="1:12" ht="13.2" customHeight="1" x14ac:dyDescent="0.3">
      <c r="A473" s="38"/>
      <c r="I473" s="36"/>
      <c r="J473" s="36"/>
      <c r="K473" s="21"/>
      <c r="L473" s="39"/>
    </row>
    <row r="474" spans="1:12" ht="13.2" customHeight="1" x14ac:dyDescent="0.3">
      <c r="A474" s="38"/>
      <c r="I474" s="36"/>
      <c r="J474" s="36"/>
      <c r="K474" s="21"/>
      <c r="L474" s="39"/>
    </row>
    <row r="475" spans="1:12" ht="13.2" customHeight="1" x14ac:dyDescent="0.3">
      <c r="A475" s="38"/>
      <c r="I475" s="36"/>
      <c r="J475" s="36"/>
      <c r="K475" s="21"/>
      <c r="L475" s="39"/>
    </row>
    <row r="476" spans="1:12" ht="13.2" customHeight="1" x14ac:dyDescent="0.3">
      <c r="A476" s="38"/>
      <c r="I476" s="36"/>
      <c r="J476" s="36"/>
      <c r="K476" s="21"/>
      <c r="L476" s="39"/>
    </row>
    <row r="477" spans="1:12" ht="13.2" customHeight="1" x14ac:dyDescent="0.3">
      <c r="A477" s="38"/>
      <c r="I477" s="36"/>
      <c r="J477" s="36"/>
      <c r="K477" s="21"/>
      <c r="L477" s="39"/>
    </row>
    <row r="478" spans="1:12" ht="13.2" customHeight="1" x14ac:dyDescent="0.3">
      <c r="A478" s="38"/>
      <c r="I478" s="36"/>
      <c r="J478" s="36"/>
      <c r="K478" s="21"/>
      <c r="L478" s="39"/>
    </row>
    <row r="479" spans="1:12" ht="13.2" customHeight="1" x14ac:dyDescent="0.3">
      <c r="A479" s="38"/>
      <c r="I479" s="36"/>
      <c r="J479" s="36"/>
      <c r="K479" s="21"/>
      <c r="L479" s="39"/>
    </row>
    <row r="480" spans="1:12" ht="13.2" customHeight="1" x14ac:dyDescent="0.3">
      <c r="A480" s="38"/>
      <c r="I480" s="36"/>
      <c r="J480" s="36"/>
      <c r="K480" s="21"/>
      <c r="L480" s="39"/>
    </row>
    <row r="481" spans="1:12" ht="13.2" customHeight="1" x14ac:dyDescent="0.3">
      <c r="A481" s="38"/>
      <c r="I481" s="36"/>
      <c r="J481" s="36"/>
      <c r="K481" s="21"/>
      <c r="L481" s="39"/>
    </row>
    <row r="482" spans="1:12" ht="13.2" customHeight="1" x14ac:dyDescent="0.3">
      <c r="A482" s="38"/>
      <c r="I482" s="36"/>
      <c r="J482" s="36"/>
      <c r="K482" s="21"/>
      <c r="L482" s="39"/>
    </row>
    <row r="483" spans="1:12" ht="13.2" customHeight="1" x14ac:dyDescent="0.3">
      <c r="A483" s="38"/>
      <c r="I483" s="36"/>
      <c r="J483" s="36"/>
      <c r="K483" s="21"/>
      <c r="L483" s="39"/>
    </row>
    <row r="484" spans="1:12" ht="13.2" customHeight="1" x14ac:dyDescent="0.3">
      <c r="A484" s="38"/>
      <c r="I484" s="36"/>
      <c r="J484" s="36"/>
      <c r="K484" s="21"/>
      <c r="L484" s="39"/>
    </row>
    <row r="485" spans="1:12" ht="13.2" customHeight="1" x14ac:dyDescent="0.3">
      <c r="A485" s="38"/>
      <c r="I485" s="36"/>
      <c r="J485" s="36"/>
      <c r="K485" s="21"/>
      <c r="L485" s="39"/>
    </row>
    <row r="486" spans="1:12" ht="13.2" customHeight="1" x14ac:dyDescent="0.3">
      <c r="A486" s="38"/>
      <c r="I486" s="36"/>
      <c r="J486" s="36"/>
      <c r="K486" s="21"/>
      <c r="L486" s="39"/>
    </row>
    <row r="487" spans="1:12" ht="13.2" customHeight="1" x14ac:dyDescent="0.3">
      <c r="A487" s="38"/>
      <c r="I487" s="36"/>
      <c r="J487" s="36"/>
      <c r="K487" s="21"/>
      <c r="L487" s="39"/>
    </row>
    <row r="488" spans="1:12" ht="13.2" customHeight="1" x14ac:dyDescent="0.3">
      <c r="A488" s="38"/>
      <c r="I488" s="36"/>
      <c r="J488" s="36"/>
      <c r="K488" s="21"/>
      <c r="L488" s="39"/>
    </row>
    <row r="489" spans="1:12" ht="13.2" customHeight="1" x14ac:dyDescent="0.3">
      <c r="A489" s="38"/>
      <c r="I489" s="36"/>
      <c r="J489" s="36"/>
      <c r="K489" s="21"/>
      <c r="L489" s="39"/>
    </row>
    <row r="490" spans="1:12" ht="13.2" customHeight="1" x14ac:dyDescent="0.3">
      <c r="A490" s="38"/>
      <c r="I490" s="36"/>
      <c r="J490" s="36"/>
      <c r="K490" s="21"/>
      <c r="L490" s="39"/>
    </row>
    <row r="491" spans="1:12" ht="13.2" customHeight="1" x14ac:dyDescent="0.3">
      <c r="A491" s="38"/>
      <c r="I491" s="36"/>
      <c r="J491" s="36"/>
      <c r="K491" s="21"/>
      <c r="L491" s="39"/>
    </row>
    <row r="492" spans="1:12" ht="13.2" customHeight="1" x14ac:dyDescent="0.3">
      <c r="A492" s="38"/>
      <c r="I492" s="36"/>
      <c r="J492" s="36"/>
      <c r="K492" s="21"/>
      <c r="L492" s="39"/>
    </row>
    <row r="493" spans="1:12" ht="13.2" customHeight="1" x14ac:dyDescent="0.3">
      <c r="A493" s="38"/>
      <c r="I493" s="36"/>
      <c r="J493" s="36"/>
      <c r="K493" s="21"/>
      <c r="L493" s="39"/>
    </row>
    <row r="494" spans="1:12" ht="13.2" customHeight="1" x14ac:dyDescent="0.3">
      <c r="A494" s="38"/>
      <c r="I494" s="36"/>
      <c r="J494" s="36"/>
      <c r="K494" s="21"/>
      <c r="L494" s="39"/>
    </row>
    <row r="495" spans="1:12" ht="13.2" customHeight="1" x14ac:dyDescent="0.3">
      <c r="A495" s="38"/>
      <c r="I495" s="36"/>
      <c r="J495" s="36"/>
      <c r="K495" s="21"/>
      <c r="L495" s="39"/>
    </row>
    <row r="496" spans="1:12" ht="13.2" customHeight="1" x14ac:dyDescent="0.3">
      <c r="A496" s="38"/>
      <c r="I496" s="36"/>
      <c r="J496" s="36"/>
      <c r="K496" s="21"/>
      <c r="L496" s="39"/>
    </row>
    <row r="497" spans="1:12" ht="13.2" customHeight="1" x14ac:dyDescent="0.3">
      <c r="A497" s="38"/>
      <c r="I497" s="36"/>
      <c r="J497" s="36"/>
      <c r="K497" s="21"/>
      <c r="L497" s="39"/>
    </row>
    <row r="498" spans="1:12" ht="13.2" customHeight="1" x14ac:dyDescent="0.3">
      <c r="A498" s="38"/>
      <c r="I498" s="36"/>
      <c r="J498" s="36"/>
      <c r="K498" s="21"/>
      <c r="L498" s="39"/>
    </row>
    <row r="499" spans="1:12" ht="13.2" customHeight="1" x14ac:dyDescent="0.3">
      <c r="A499" s="38"/>
      <c r="I499" s="36"/>
      <c r="J499" s="36"/>
      <c r="K499" s="21"/>
      <c r="L499" s="39"/>
    </row>
    <row r="500" spans="1:12" ht="13.2" customHeight="1" x14ac:dyDescent="0.3">
      <c r="A500" s="38"/>
      <c r="I500" s="36"/>
      <c r="J500" s="36"/>
      <c r="K500" s="21"/>
      <c r="L500" s="39"/>
    </row>
    <row r="501" spans="1:12" ht="13.2" customHeight="1" x14ac:dyDescent="0.3">
      <c r="A501" s="38"/>
      <c r="I501" s="36"/>
      <c r="J501" s="36"/>
      <c r="K501" s="21"/>
      <c r="L501" s="39"/>
    </row>
    <row r="502" spans="1:12" ht="13.2" customHeight="1" x14ac:dyDescent="0.3">
      <c r="A502" s="38"/>
      <c r="I502" s="36"/>
      <c r="J502" s="36"/>
      <c r="K502" s="21"/>
      <c r="L502" s="39"/>
    </row>
    <row r="503" spans="1:12" ht="13.2" customHeight="1" x14ac:dyDescent="0.3">
      <c r="A503" s="38"/>
      <c r="I503" s="36"/>
      <c r="J503" s="36"/>
      <c r="K503" s="21"/>
      <c r="L503" s="39"/>
    </row>
    <row r="504" spans="1:12" ht="13.2" customHeight="1" x14ac:dyDescent="0.3">
      <c r="A504" s="38"/>
      <c r="I504" s="36"/>
      <c r="J504" s="36"/>
      <c r="K504" s="21"/>
      <c r="L504" s="39"/>
    </row>
    <row r="505" spans="1:12" ht="13.2" customHeight="1" x14ac:dyDescent="0.3">
      <c r="A505" s="38"/>
      <c r="I505" s="36"/>
      <c r="J505" s="36"/>
      <c r="K505" s="21"/>
      <c r="L505" s="39"/>
    </row>
    <row r="506" spans="1:12" ht="13.2" customHeight="1" x14ac:dyDescent="0.3">
      <c r="A506" s="38"/>
      <c r="I506" s="36"/>
      <c r="J506" s="36"/>
      <c r="K506" s="21"/>
      <c r="L506" s="39"/>
    </row>
    <row r="507" spans="1:12" ht="13.2" customHeight="1" x14ac:dyDescent="0.3">
      <c r="A507" s="38"/>
      <c r="I507" s="36"/>
      <c r="J507" s="36"/>
      <c r="K507" s="21"/>
      <c r="L507" s="39"/>
    </row>
    <row r="508" spans="1:12" ht="13.2" customHeight="1" x14ac:dyDescent="0.3">
      <c r="A508" s="38"/>
      <c r="I508" s="36"/>
      <c r="J508" s="36"/>
      <c r="K508" s="21"/>
      <c r="L508" s="39"/>
    </row>
    <row r="509" spans="1:12" ht="13.2" customHeight="1" x14ac:dyDescent="0.3">
      <c r="A509" s="38"/>
      <c r="I509" s="36"/>
      <c r="J509" s="36"/>
      <c r="K509" s="21"/>
      <c r="L509" s="39"/>
    </row>
    <row r="510" spans="1:12" ht="13.2" customHeight="1" x14ac:dyDescent="0.3">
      <c r="A510" s="38"/>
      <c r="I510" s="36"/>
      <c r="J510" s="36"/>
      <c r="K510" s="21"/>
      <c r="L510" s="39"/>
    </row>
    <row r="511" spans="1:12" ht="13.2" customHeight="1" x14ac:dyDescent="0.3">
      <c r="A511" s="38"/>
      <c r="I511" s="36"/>
      <c r="J511" s="36"/>
      <c r="K511" s="21"/>
      <c r="L511" s="39"/>
    </row>
    <row r="512" spans="1:12" ht="13.2" customHeight="1" x14ac:dyDescent="0.3">
      <c r="A512" s="38"/>
      <c r="I512" s="36"/>
      <c r="J512" s="36"/>
      <c r="K512" s="21"/>
      <c r="L512" s="39"/>
    </row>
    <row r="513" spans="1:12" ht="13.2" customHeight="1" x14ac:dyDescent="0.3">
      <c r="A513" s="38"/>
      <c r="I513" s="36"/>
      <c r="J513" s="36"/>
      <c r="K513" s="21"/>
      <c r="L513" s="39"/>
    </row>
    <row r="514" spans="1:12" ht="13.2" customHeight="1" x14ac:dyDescent="0.3">
      <c r="A514" s="38"/>
      <c r="I514" s="36"/>
      <c r="J514" s="36"/>
      <c r="K514" s="21"/>
      <c r="L514" s="39"/>
    </row>
    <row r="515" spans="1:12" ht="13.2" customHeight="1" x14ac:dyDescent="0.3">
      <c r="A515" s="38"/>
      <c r="I515" s="36"/>
      <c r="J515" s="36"/>
      <c r="K515" s="21"/>
      <c r="L515" s="39"/>
    </row>
    <row r="516" spans="1:12" ht="13.2" customHeight="1" x14ac:dyDescent="0.3">
      <c r="A516" s="38"/>
      <c r="I516" s="36"/>
      <c r="J516" s="36"/>
      <c r="K516" s="21"/>
      <c r="L516" s="39"/>
    </row>
    <row r="517" spans="1:12" ht="13.2" customHeight="1" x14ac:dyDescent="0.3">
      <c r="A517" s="38"/>
      <c r="I517" s="36"/>
      <c r="J517" s="36"/>
      <c r="K517" s="21"/>
      <c r="L517" s="39"/>
    </row>
    <row r="518" spans="1:12" ht="13.2" customHeight="1" x14ac:dyDescent="0.3">
      <c r="A518" s="38"/>
      <c r="I518" s="36"/>
      <c r="J518" s="36"/>
      <c r="K518" s="21"/>
      <c r="L518" s="39"/>
    </row>
    <row r="519" spans="1:12" ht="13.2" customHeight="1" x14ac:dyDescent="0.3">
      <c r="A519" s="38"/>
      <c r="I519" s="36"/>
      <c r="J519" s="36"/>
      <c r="K519" s="21"/>
      <c r="L519" s="39"/>
    </row>
    <row r="520" spans="1:12" ht="13.2" customHeight="1" x14ac:dyDescent="0.3">
      <c r="A520" s="38"/>
      <c r="I520" s="36"/>
      <c r="J520" s="36"/>
      <c r="K520" s="21"/>
      <c r="L520" s="39"/>
    </row>
    <row r="521" spans="1:12" ht="13.2" customHeight="1" x14ac:dyDescent="0.3">
      <c r="A521" s="38"/>
      <c r="I521" s="36"/>
      <c r="J521" s="36"/>
      <c r="K521" s="21"/>
      <c r="L521" s="39"/>
    </row>
    <row r="522" spans="1:12" ht="13.2" customHeight="1" x14ac:dyDescent="0.3">
      <c r="A522" s="38"/>
      <c r="I522" s="36"/>
      <c r="J522" s="36"/>
      <c r="K522" s="21"/>
      <c r="L522" s="39"/>
    </row>
    <row r="523" spans="1:12" ht="13.2" customHeight="1" x14ac:dyDescent="0.3">
      <c r="A523" s="38"/>
      <c r="I523" s="36"/>
      <c r="J523" s="36"/>
      <c r="K523" s="21"/>
      <c r="L523" s="39"/>
    </row>
    <row r="524" spans="1:12" ht="13.2" customHeight="1" x14ac:dyDescent="0.3">
      <c r="A524" s="38"/>
      <c r="I524" s="36"/>
      <c r="J524" s="36"/>
      <c r="K524" s="21"/>
      <c r="L524" s="39"/>
    </row>
    <row r="525" spans="1:12" ht="13.2" customHeight="1" x14ac:dyDescent="0.3">
      <c r="A525" s="38"/>
      <c r="I525" s="36"/>
      <c r="J525" s="36"/>
      <c r="K525" s="21"/>
      <c r="L525" s="39"/>
    </row>
    <row r="526" spans="1:12" ht="13.2" customHeight="1" x14ac:dyDescent="0.3">
      <c r="A526" s="38"/>
      <c r="I526" s="36"/>
      <c r="J526" s="36"/>
      <c r="K526" s="21"/>
      <c r="L526" s="39"/>
    </row>
    <row r="527" spans="1:12" ht="13.2" customHeight="1" x14ac:dyDescent="0.3">
      <c r="A527" s="38"/>
      <c r="I527" s="36"/>
      <c r="J527" s="36"/>
      <c r="K527" s="21"/>
      <c r="L527" s="39"/>
    </row>
    <row r="528" spans="1:12" ht="13.2" customHeight="1" x14ac:dyDescent="0.3">
      <c r="A528" s="38"/>
      <c r="I528" s="36"/>
      <c r="J528" s="36"/>
      <c r="K528" s="21"/>
      <c r="L528" s="39"/>
    </row>
    <row r="529" spans="1:12" ht="13.2" customHeight="1" x14ac:dyDescent="0.3">
      <c r="A529" s="38"/>
      <c r="I529" s="36"/>
      <c r="J529" s="36"/>
      <c r="K529" s="21"/>
      <c r="L529" s="39"/>
    </row>
    <row r="530" spans="1:12" ht="13.2" customHeight="1" x14ac:dyDescent="0.3">
      <c r="A530" s="38"/>
      <c r="I530" s="36"/>
      <c r="J530" s="36"/>
      <c r="K530" s="21"/>
      <c r="L530" s="39"/>
    </row>
    <row r="531" spans="1:12" ht="13.2" customHeight="1" x14ac:dyDescent="0.3">
      <c r="A531" s="38"/>
      <c r="I531" s="36"/>
      <c r="J531" s="36"/>
      <c r="K531" s="21"/>
      <c r="L531" s="39"/>
    </row>
    <row r="532" spans="1:12" ht="13.2" customHeight="1" x14ac:dyDescent="0.3">
      <c r="A532" s="38"/>
      <c r="I532" s="36"/>
      <c r="J532" s="36"/>
      <c r="K532" s="21"/>
      <c r="L532" s="39"/>
    </row>
    <row r="533" spans="1:12" ht="13.2" customHeight="1" x14ac:dyDescent="0.3">
      <c r="A533" s="38"/>
      <c r="I533" s="36"/>
      <c r="J533" s="36"/>
      <c r="K533" s="21"/>
      <c r="L533" s="39"/>
    </row>
    <row r="534" spans="1:12" ht="13.2" customHeight="1" x14ac:dyDescent="0.3">
      <c r="A534" s="38"/>
      <c r="I534" s="36"/>
      <c r="J534" s="36"/>
      <c r="K534" s="21"/>
      <c r="L534" s="39"/>
    </row>
    <row r="535" spans="1:12" ht="13.2" customHeight="1" x14ac:dyDescent="0.3">
      <c r="A535" s="38"/>
      <c r="I535" s="36"/>
      <c r="J535" s="36"/>
      <c r="K535" s="21"/>
      <c r="L535" s="39"/>
    </row>
    <row r="536" spans="1:12" ht="13.2" customHeight="1" x14ac:dyDescent="0.3">
      <c r="A536" s="38"/>
      <c r="I536" s="36"/>
      <c r="J536" s="36"/>
      <c r="K536" s="21"/>
      <c r="L536" s="39"/>
    </row>
    <row r="537" spans="1:12" ht="13.2" customHeight="1" x14ac:dyDescent="0.3">
      <c r="A537" s="38"/>
      <c r="I537" s="36"/>
      <c r="J537" s="36"/>
      <c r="K537" s="21"/>
      <c r="L537" s="39"/>
    </row>
    <row r="538" spans="1:12" ht="13.2" customHeight="1" x14ac:dyDescent="0.3">
      <c r="A538" s="38"/>
      <c r="I538" s="36"/>
      <c r="J538" s="36"/>
      <c r="K538" s="21"/>
      <c r="L538" s="39"/>
    </row>
    <row r="539" spans="1:12" ht="13.2" customHeight="1" x14ac:dyDescent="0.3">
      <c r="A539" s="38"/>
      <c r="I539" s="36"/>
      <c r="J539" s="36"/>
      <c r="K539" s="21"/>
      <c r="L539" s="39"/>
    </row>
    <row r="540" spans="1:12" ht="13.2" customHeight="1" x14ac:dyDescent="0.3">
      <c r="A540" s="38"/>
      <c r="I540" s="36"/>
      <c r="J540" s="36"/>
      <c r="K540" s="21"/>
      <c r="L540" s="39"/>
    </row>
    <row r="541" spans="1:12" ht="13.2" customHeight="1" x14ac:dyDescent="0.3">
      <c r="A541" s="38"/>
      <c r="I541" s="36"/>
      <c r="J541" s="36"/>
      <c r="K541" s="21"/>
      <c r="L541" s="39"/>
    </row>
    <row r="542" spans="1:12" ht="13.2" customHeight="1" x14ac:dyDescent="0.3">
      <c r="A542" s="38"/>
      <c r="I542" s="36"/>
      <c r="J542" s="36"/>
      <c r="K542" s="21"/>
      <c r="L542" s="39"/>
    </row>
    <row r="543" spans="1:12" ht="13.2" customHeight="1" x14ac:dyDescent="0.3">
      <c r="A543" s="38"/>
      <c r="I543" s="36"/>
      <c r="J543" s="36"/>
      <c r="K543" s="21"/>
      <c r="L543" s="39"/>
    </row>
    <row r="544" spans="1:12" ht="13.2" customHeight="1" x14ac:dyDescent="0.3">
      <c r="A544" s="38"/>
      <c r="I544" s="36"/>
      <c r="J544" s="36"/>
      <c r="K544" s="21"/>
      <c r="L544" s="39"/>
    </row>
    <row r="545" spans="1:12" ht="13.2" customHeight="1" x14ac:dyDescent="0.3">
      <c r="A545" s="38"/>
      <c r="I545" s="36"/>
      <c r="J545" s="36"/>
      <c r="K545" s="21"/>
      <c r="L545" s="39"/>
    </row>
    <row r="546" spans="1:12" ht="13.2" customHeight="1" x14ac:dyDescent="0.3">
      <c r="A546" s="38"/>
      <c r="I546" s="36"/>
      <c r="J546" s="36"/>
      <c r="K546" s="21"/>
      <c r="L546" s="39"/>
    </row>
    <row r="547" spans="1:12" ht="13.2" customHeight="1" x14ac:dyDescent="0.3">
      <c r="A547" s="38"/>
      <c r="I547" s="36"/>
      <c r="J547" s="36"/>
      <c r="K547" s="21"/>
      <c r="L547" s="39"/>
    </row>
    <row r="548" spans="1:12" ht="13.2" customHeight="1" x14ac:dyDescent="0.3">
      <c r="A548" s="38"/>
      <c r="I548" s="36"/>
      <c r="J548" s="36"/>
      <c r="K548" s="21"/>
      <c r="L548" s="39"/>
    </row>
    <row r="549" spans="1:12" ht="13.2" customHeight="1" x14ac:dyDescent="0.3">
      <c r="A549" s="38"/>
      <c r="I549" s="36"/>
      <c r="J549" s="36"/>
      <c r="K549" s="21"/>
      <c r="L549" s="39"/>
    </row>
    <row r="550" spans="1:12" ht="13.2" customHeight="1" x14ac:dyDescent="0.3">
      <c r="A550" s="38"/>
      <c r="I550" s="36"/>
      <c r="J550" s="36"/>
      <c r="K550" s="21"/>
      <c r="L550" s="39"/>
    </row>
    <row r="551" spans="1:12" ht="13.2" customHeight="1" x14ac:dyDescent="0.3">
      <c r="A551" s="38"/>
      <c r="I551" s="36"/>
      <c r="J551" s="36"/>
      <c r="K551" s="21"/>
      <c r="L551" s="39"/>
    </row>
    <row r="552" spans="1:12" ht="13.2" customHeight="1" x14ac:dyDescent="0.3">
      <c r="A552" s="38"/>
      <c r="I552" s="36"/>
      <c r="J552" s="36"/>
      <c r="K552" s="21"/>
      <c r="L552" s="39"/>
    </row>
    <row r="553" spans="1:12" ht="13.2" customHeight="1" x14ac:dyDescent="0.3">
      <c r="A553" s="38"/>
      <c r="I553" s="36"/>
      <c r="J553" s="36"/>
      <c r="K553" s="21"/>
      <c r="L553" s="39"/>
    </row>
    <row r="554" spans="1:12" ht="13.2" customHeight="1" x14ac:dyDescent="0.3">
      <c r="A554" s="38"/>
      <c r="I554" s="36"/>
      <c r="J554" s="36"/>
      <c r="K554" s="21"/>
      <c r="L554" s="39"/>
    </row>
    <row r="555" spans="1:12" ht="13.2" customHeight="1" x14ac:dyDescent="0.3">
      <c r="A555" s="38"/>
      <c r="I555" s="36"/>
      <c r="J555" s="36"/>
      <c r="K555" s="21"/>
      <c r="L555" s="39"/>
    </row>
    <row r="556" spans="1:12" ht="13.2" customHeight="1" x14ac:dyDescent="0.3">
      <c r="A556" s="38"/>
      <c r="I556" s="36"/>
      <c r="J556" s="36"/>
      <c r="K556" s="21"/>
      <c r="L556" s="39"/>
    </row>
    <row r="557" spans="1:12" ht="13.2" customHeight="1" x14ac:dyDescent="0.3">
      <c r="A557" s="38"/>
      <c r="I557" s="36"/>
      <c r="J557" s="36"/>
      <c r="K557" s="21"/>
      <c r="L557" s="39"/>
    </row>
    <row r="558" spans="1:12" ht="13.2" customHeight="1" x14ac:dyDescent="0.3">
      <c r="A558" s="38"/>
      <c r="I558" s="36"/>
      <c r="J558" s="36"/>
      <c r="K558" s="21"/>
      <c r="L558" s="39"/>
    </row>
    <row r="559" spans="1:12" ht="13.2" customHeight="1" x14ac:dyDescent="0.3">
      <c r="A559" s="38"/>
      <c r="I559" s="36"/>
      <c r="J559" s="36"/>
      <c r="K559" s="21"/>
      <c r="L559" s="39"/>
    </row>
    <row r="560" spans="1:12" ht="13.2" customHeight="1" x14ac:dyDescent="0.3">
      <c r="A560" s="38"/>
      <c r="I560" s="36"/>
      <c r="J560" s="36"/>
      <c r="K560" s="21"/>
      <c r="L560" s="39"/>
    </row>
    <row r="561" spans="1:12" ht="13.2" customHeight="1" x14ac:dyDescent="0.3">
      <c r="A561" s="38"/>
      <c r="I561" s="36"/>
      <c r="J561" s="36"/>
      <c r="K561" s="21"/>
      <c r="L561" s="39"/>
    </row>
    <row r="562" spans="1:12" ht="13.2" customHeight="1" x14ac:dyDescent="0.3">
      <c r="A562" s="38"/>
      <c r="I562" s="36"/>
      <c r="J562" s="36"/>
      <c r="K562" s="21"/>
      <c r="L562" s="39"/>
    </row>
    <row r="563" spans="1:12" ht="13.2" customHeight="1" x14ac:dyDescent="0.3">
      <c r="A563" s="38"/>
      <c r="I563" s="36"/>
      <c r="J563" s="36"/>
      <c r="K563" s="21"/>
      <c r="L563" s="39"/>
    </row>
    <row r="564" spans="1:12" ht="13.2" customHeight="1" x14ac:dyDescent="0.3">
      <c r="A564" s="38"/>
      <c r="I564" s="36"/>
      <c r="J564" s="36"/>
      <c r="K564" s="21"/>
      <c r="L564" s="39"/>
    </row>
    <row r="565" spans="1:12" ht="13.2" customHeight="1" x14ac:dyDescent="0.3">
      <c r="A565" s="38"/>
      <c r="I565" s="36"/>
      <c r="J565" s="36"/>
      <c r="K565" s="21"/>
      <c r="L565" s="39"/>
    </row>
    <row r="566" spans="1:12" ht="13.2" customHeight="1" x14ac:dyDescent="0.3">
      <c r="A566" s="38"/>
      <c r="I566" s="36"/>
      <c r="J566" s="36"/>
      <c r="K566" s="21"/>
      <c r="L566" s="39"/>
    </row>
    <row r="567" spans="1:12" ht="13.2" customHeight="1" x14ac:dyDescent="0.3">
      <c r="A567" s="38"/>
      <c r="I567" s="36"/>
      <c r="J567" s="36"/>
      <c r="K567" s="21"/>
      <c r="L567" s="39"/>
    </row>
    <row r="568" spans="1:12" ht="13.2" customHeight="1" x14ac:dyDescent="0.3">
      <c r="A568" s="38"/>
      <c r="I568" s="36"/>
      <c r="J568" s="36"/>
      <c r="K568" s="21"/>
      <c r="L568" s="39"/>
    </row>
    <row r="569" spans="1:12" ht="13.2" customHeight="1" x14ac:dyDescent="0.3">
      <c r="A569" s="38"/>
      <c r="I569" s="36"/>
      <c r="J569" s="36"/>
      <c r="K569" s="21"/>
      <c r="L569" s="39"/>
    </row>
    <row r="570" spans="1:12" ht="13.2" customHeight="1" x14ac:dyDescent="0.3">
      <c r="A570" s="38"/>
      <c r="I570" s="36"/>
      <c r="J570" s="36"/>
      <c r="K570" s="21"/>
      <c r="L570" s="39"/>
    </row>
    <row r="571" spans="1:12" ht="13.2" customHeight="1" x14ac:dyDescent="0.3">
      <c r="A571" s="38"/>
      <c r="I571" s="36"/>
      <c r="J571" s="36"/>
      <c r="K571" s="21"/>
      <c r="L571" s="39"/>
    </row>
    <row r="572" spans="1:12" ht="13.2" customHeight="1" x14ac:dyDescent="0.3">
      <c r="A572" s="38"/>
      <c r="I572" s="36"/>
      <c r="J572" s="36"/>
      <c r="K572" s="21"/>
      <c r="L572" s="39"/>
    </row>
    <row r="573" spans="1:12" ht="13.2" customHeight="1" x14ac:dyDescent="0.3">
      <c r="A573" s="38"/>
      <c r="I573" s="36"/>
      <c r="J573" s="36"/>
      <c r="K573" s="21"/>
      <c r="L573" s="39"/>
    </row>
    <row r="574" spans="1:12" ht="13.2" customHeight="1" x14ac:dyDescent="0.3">
      <c r="A574" s="38"/>
      <c r="I574" s="36"/>
      <c r="J574" s="36"/>
      <c r="K574" s="21"/>
      <c r="L574" s="39"/>
    </row>
    <row r="575" spans="1:12" ht="13.2" customHeight="1" x14ac:dyDescent="0.3">
      <c r="A575" s="38"/>
      <c r="I575" s="36"/>
      <c r="J575" s="36"/>
      <c r="K575" s="21"/>
      <c r="L575" s="39"/>
    </row>
    <row r="576" spans="1:12" ht="13.2" customHeight="1" x14ac:dyDescent="0.3">
      <c r="A576" s="38"/>
      <c r="I576" s="36"/>
      <c r="J576" s="36"/>
      <c r="K576" s="21"/>
      <c r="L576" s="39"/>
    </row>
    <row r="577" spans="1:12" ht="13.2" customHeight="1" x14ac:dyDescent="0.3">
      <c r="A577" s="38"/>
      <c r="I577" s="36"/>
      <c r="J577" s="36"/>
      <c r="K577" s="21"/>
      <c r="L577" s="39"/>
    </row>
    <row r="578" spans="1:12" ht="13.2" customHeight="1" x14ac:dyDescent="0.3">
      <c r="A578" s="38"/>
      <c r="I578" s="36"/>
      <c r="J578" s="36"/>
      <c r="K578" s="21"/>
      <c r="L578" s="39"/>
    </row>
    <row r="579" spans="1:12" ht="13.2" customHeight="1" x14ac:dyDescent="0.3">
      <c r="A579" s="38"/>
      <c r="I579" s="36"/>
      <c r="J579" s="36"/>
      <c r="K579" s="21"/>
      <c r="L579" s="39"/>
    </row>
    <row r="580" spans="1:12" ht="13.2" customHeight="1" x14ac:dyDescent="0.3">
      <c r="A580" s="38"/>
      <c r="I580" s="36"/>
      <c r="J580" s="36"/>
      <c r="K580" s="21"/>
      <c r="L580" s="39"/>
    </row>
    <row r="581" spans="1:12" ht="13.2" customHeight="1" x14ac:dyDescent="0.3">
      <c r="A581" s="38"/>
      <c r="I581" s="36"/>
      <c r="J581" s="36"/>
      <c r="K581" s="21"/>
      <c r="L581" s="39"/>
    </row>
    <row r="582" spans="1:12" ht="13.2" customHeight="1" x14ac:dyDescent="0.3">
      <c r="A582" s="38"/>
      <c r="I582" s="36"/>
      <c r="J582" s="36"/>
      <c r="K582" s="21"/>
      <c r="L582" s="39"/>
    </row>
    <row r="583" spans="1:12" ht="13.2" customHeight="1" x14ac:dyDescent="0.3">
      <c r="A583" s="38"/>
      <c r="I583" s="36"/>
      <c r="J583" s="36"/>
      <c r="K583" s="21"/>
      <c r="L583" s="39"/>
    </row>
    <row r="584" spans="1:12" ht="13.2" customHeight="1" x14ac:dyDescent="0.3">
      <c r="A584" s="38"/>
      <c r="I584" s="36"/>
      <c r="J584" s="36"/>
      <c r="K584" s="21"/>
      <c r="L584" s="39"/>
    </row>
    <row r="585" spans="1:12" ht="13.2" customHeight="1" x14ac:dyDescent="0.3">
      <c r="A585" s="38"/>
      <c r="I585" s="36"/>
      <c r="J585" s="36"/>
      <c r="K585" s="21"/>
      <c r="L585" s="39"/>
    </row>
    <row r="586" spans="1:12" ht="13.2" customHeight="1" x14ac:dyDescent="0.3">
      <c r="A586" s="38"/>
      <c r="I586" s="36"/>
      <c r="J586" s="36"/>
      <c r="K586" s="21"/>
      <c r="L586" s="39"/>
    </row>
    <row r="587" spans="1:12" ht="13.2" customHeight="1" x14ac:dyDescent="0.3">
      <c r="A587" s="38"/>
      <c r="I587" s="36"/>
      <c r="J587" s="36"/>
      <c r="K587" s="21"/>
      <c r="L587" s="39"/>
    </row>
    <row r="588" spans="1:12" ht="13.2" customHeight="1" x14ac:dyDescent="0.3">
      <c r="A588" s="38"/>
      <c r="I588" s="36"/>
      <c r="J588" s="36"/>
      <c r="K588" s="21"/>
      <c r="L588" s="39"/>
    </row>
    <row r="589" spans="1:12" ht="13.2" customHeight="1" x14ac:dyDescent="0.3">
      <c r="A589" s="38"/>
      <c r="I589" s="36"/>
      <c r="J589" s="36"/>
      <c r="K589" s="21"/>
      <c r="L589" s="39"/>
    </row>
    <row r="590" spans="1:12" ht="13.2" customHeight="1" x14ac:dyDescent="0.3">
      <c r="A590" s="38"/>
      <c r="I590" s="36"/>
      <c r="J590" s="36"/>
      <c r="K590" s="21"/>
      <c r="L590" s="39"/>
    </row>
    <row r="591" spans="1:12" ht="13.2" customHeight="1" x14ac:dyDescent="0.3">
      <c r="A591" s="38"/>
      <c r="I591" s="36"/>
      <c r="J591" s="36"/>
      <c r="K591" s="21"/>
      <c r="L591" s="39"/>
    </row>
    <row r="592" spans="1:12" ht="13.2" customHeight="1" x14ac:dyDescent="0.3">
      <c r="A592" s="38"/>
      <c r="I592" s="36"/>
      <c r="J592" s="36"/>
      <c r="K592" s="21"/>
      <c r="L592" s="39"/>
    </row>
    <row r="593" spans="1:12" ht="13.2" customHeight="1" x14ac:dyDescent="0.3">
      <c r="A593" s="38"/>
      <c r="I593" s="36"/>
      <c r="J593" s="36"/>
      <c r="K593" s="21"/>
      <c r="L593" s="39"/>
    </row>
    <row r="594" spans="1:12" ht="13.2" customHeight="1" x14ac:dyDescent="0.3">
      <c r="A594" s="38"/>
      <c r="I594" s="36"/>
      <c r="J594" s="36"/>
      <c r="K594" s="21"/>
      <c r="L594" s="39"/>
    </row>
    <row r="595" spans="1:12" ht="13.2" customHeight="1" x14ac:dyDescent="0.3">
      <c r="A595" s="38"/>
      <c r="I595" s="36"/>
      <c r="J595" s="36"/>
      <c r="K595" s="21"/>
      <c r="L595" s="39"/>
    </row>
    <row r="596" spans="1:12" ht="13.2" customHeight="1" x14ac:dyDescent="0.3">
      <c r="A596" s="38"/>
      <c r="I596" s="36"/>
      <c r="J596" s="36"/>
      <c r="K596" s="21"/>
      <c r="L596" s="39"/>
    </row>
    <row r="597" spans="1:12" ht="13.2" customHeight="1" x14ac:dyDescent="0.3">
      <c r="A597" s="38"/>
      <c r="I597" s="36"/>
      <c r="J597" s="36"/>
      <c r="K597" s="21"/>
      <c r="L597" s="39"/>
    </row>
    <row r="598" spans="1:12" ht="13.2" customHeight="1" x14ac:dyDescent="0.3">
      <c r="A598" s="38"/>
      <c r="I598" s="36"/>
      <c r="J598" s="36"/>
      <c r="K598" s="21"/>
      <c r="L598" s="39"/>
    </row>
    <row r="599" spans="1:12" ht="13.2" customHeight="1" x14ac:dyDescent="0.3">
      <c r="A599" s="38"/>
      <c r="I599" s="36"/>
      <c r="J599" s="36"/>
      <c r="K599" s="21"/>
      <c r="L599" s="39"/>
    </row>
    <row r="600" spans="1:12" ht="13.2" customHeight="1" x14ac:dyDescent="0.3">
      <c r="A600" s="38"/>
      <c r="I600" s="36"/>
      <c r="J600" s="36"/>
      <c r="K600" s="21"/>
      <c r="L600" s="39"/>
    </row>
    <row r="601" spans="1:12" ht="13.2" customHeight="1" x14ac:dyDescent="0.3">
      <c r="A601" s="38"/>
      <c r="I601" s="36"/>
      <c r="J601" s="36"/>
      <c r="K601" s="21"/>
      <c r="L601" s="39"/>
    </row>
    <row r="602" spans="1:12" ht="13.2" customHeight="1" x14ac:dyDescent="0.3">
      <c r="A602" s="38"/>
      <c r="I602" s="36"/>
      <c r="J602" s="36"/>
      <c r="K602" s="21"/>
      <c r="L602" s="39"/>
    </row>
    <row r="603" spans="1:12" ht="13.2" customHeight="1" x14ac:dyDescent="0.3">
      <c r="A603" s="38"/>
      <c r="I603" s="36"/>
      <c r="J603" s="36"/>
      <c r="K603" s="21"/>
      <c r="L603" s="39"/>
    </row>
    <row r="604" spans="1:12" ht="13.2" customHeight="1" x14ac:dyDescent="0.3">
      <c r="A604" s="38"/>
      <c r="I604" s="36"/>
      <c r="J604" s="36"/>
      <c r="K604" s="21"/>
      <c r="L604" s="39"/>
    </row>
    <row r="605" spans="1:12" ht="13.2" customHeight="1" x14ac:dyDescent="0.3">
      <c r="A605" s="38"/>
      <c r="I605" s="36"/>
      <c r="J605" s="36"/>
      <c r="K605" s="21"/>
      <c r="L605" s="39"/>
    </row>
    <row r="606" spans="1:12" ht="13.2" customHeight="1" x14ac:dyDescent="0.3">
      <c r="A606" s="38"/>
      <c r="I606" s="36"/>
      <c r="J606" s="36"/>
      <c r="K606" s="21"/>
      <c r="L606" s="39"/>
    </row>
    <row r="607" spans="1:12" ht="13.2" customHeight="1" x14ac:dyDescent="0.3">
      <c r="A607" s="38"/>
      <c r="I607" s="36"/>
      <c r="J607" s="36"/>
      <c r="K607" s="21"/>
      <c r="L607" s="39"/>
    </row>
    <row r="608" spans="1:12" ht="13.2" customHeight="1" x14ac:dyDescent="0.3">
      <c r="A608" s="38"/>
      <c r="I608" s="36"/>
      <c r="J608" s="36"/>
      <c r="K608" s="21"/>
      <c r="L608" s="39"/>
    </row>
    <row r="609" spans="1:12" ht="13.2" customHeight="1" x14ac:dyDescent="0.3">
      <c r="A609" s="38"/>
      <c r="I609" s="36"/>
      <c r="J609" s="36"/>
      <c r="K609" s="21"/>
      <c r="L609" s="39"/>
    </row>
    <row r="610" spans="1:12" ht="13.2" customHeight="1" x14ac:dyDescent="0.3">
      <c r="A610" s="38"/>
      <c r="I610" s="36"/>
      <c r="J610" s="36"/>
      <c r="K610" s="21"/>
      <c r="L610" s="39"/>
    </row>
    <row r="611" spans="1:12" ht="13.2" customHeight="1" x14ac:dyDescent="0.3">
      <c r="A611" s="38"/>
      <c r="I611" s="36"/>
      <c r="J611" s="36"/>
      <c r="K611" s="21"/>
      <c r="L611" s="39"/>
    </row>
    <row r="612" spans="1:12" ht="13.2" customHeight="1" x14ac:dyDescent="0.3">
      <c r="A612" s="38"/>
      <c r="I612" s="36"/>
      <c r="J612" s="36"/>
      <c r="K612" s="21"/>
      <c r="L612" s="39"/>
    </row>
    <row r="613" spans="1:12" ht="13.2" customHeight="1" x14ac:dyDescent="0.3">
      <c r="A613" s="38"/>
      <c r="I613" s="36"/>
      <c r="J613" s="36"/>
      <c r="K613" s="21"/>
      <c r="L613" s="39"/>
    </row>
    <row r="614" spans="1:12" ht="13.2" customHeight="1" x14ac:dyDescent="0.3">
      <c r="A614" s="38"/>
      <c r="I614" s="36"/>
      <c r="J614" s="36"/>
      <c r="K614" s="21"/>
      <c r="L614" s="39"/>
    </row>
    <row r="615" spans="1:12" ht="13.2" customHeight="1" x14ac:dyDescent="0.3">
      <c r="A615" s="38"/>
      <c r="I615" s="36"/>
      <c r="J615" s="36"/>
      <c r="K615" s="21"/>
      <c r="L615" s="39"/>
    </row>
    <row r="616" spans="1:12" ht="13.2" customHeight="1" x14ac:dyDescent="0.3">
      <c r="A616" s="38"/>
      <c r="I616" s="36"/>
      <c r="J616" s="36"/>
      <c r="K616" s="21"/>
      <c r="L616" s="39"/>
    </row>
    <row r="617" spans="1:12" ht="13.2" customHeight="1" x14ac:dyDescent="0.3">
      <c r="A617" s="38"/>
      <c r="I617" s="36"/>
      <c r="J617" s="36"/>
      <c r="K617" s="21"/>
      <c r="L617" s="39"/>
    </row>
    <row r="618" spans="1:12" ht="13.2" customHeight="1" x14ac:dyDescent="0.3">
      <c r="A618" s="38"/>
      <c r="I618" s="36"/>
      <c r="J618" s="36"/>
      <c r="K618" s="21"/>
      <c r="L618" s="39"/>
    </row>
    <row r="619" spans="1:12" ht="13.2" customHeight="1" x14ac:dyDescent="0.3">
      <c r="A619" s="38"/>
      <c r="I619" s="36"/>
      <c r="J619" s="36"/>
      <c r="K619" s="21"/>
      <c r="L619" s="39"/>
    </row>
    <row r="620" spans="1:12" ht="13.2" customHeight="1" x14ac:dyDescent="0.3">
      <c r="A620" s="38"/>
      <c r="I620" s="36"/>
      <c r="J620" s="36"/>
      <c r="K620" s="21"/>
      <c r="L620" s="39"/>
    </row>
    <row r="621" spans="1:12" ht="13.2" customHeight="1" x14ac:dyDescent="0.3">
      <c r="A621" s="38"/>
      <c r="I621" s="36"/>
      <c r="J621" s="36"/>
      <c r="K621" s="21"/>
      <c r="L621" s="39"/>
    </row>
    <row r="622" spans="1:12" ht="13.2" customHeight="1" x14ac:dyDescent="0.3">
      <c r="A622" s="38"/>
      <c r="I622" s="36"/>
      <c r="J622" s="36"/>
      <c r="K622" s="21"/>
      <c r="L622" s="39"/>
    </row>
    <row r="623" spans="1:12" ht="13.2" customHeight="1" x14ac:dyDescent="0.3">
      <c r="A623" s="38"/>
      <c r="I623" s="36"/>
      <c r="J623" s="36"/>
      <c r="K623" s="21"/>
      <c r="L623" s="39"/>
    </row>
    <row r="624" spans="1:12" ht="13.2" customHeight="1" x14ac:dyDescent="0.3">
      <c r="A624" s="38"/>
      <c r="I624" s="36"/>
      <c r="J624" s="36"/>
      <c r="K624" s="21"/>
      <c r="L624" s="39"/>
    </row>
    <row r="625" spans="1:12" ht="13.2" customHeight="1" x14ac:dyDescent="0.3">
      <c r="A625" s="38"/>
      <c r="I625" s="36"/>
      <c r="J625" s="36"/>
      <c r="K625" s="21"/>
      <c r="L625" s="39"/>
    </row>
    <row r="1048360" spans="2:12" ht="13.2" customHeight="1" x14ac:dyDescent="0.3">
      <c r="B1048360" s="7"/>
      <c r="C1048360" s="7"/>
      <c r="D1048360" s="7"/>
      <c r="E1048360" s="40"/>
      <c r="F1048360" s="7"/>
      <c r="G1048360" s="7"/>
      <c r="H1048360" s="7"/>
      <c r="K1048360" s="7"/>
      <c r="L1048360" s="7"/>
    </row>
  </sheetData>
  <mergeCells count="1">
    <mergeCell ref="B1:C1"/>
  </mergeCells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93BFAEBD7834418D7B081F606224EE" ma:contentTypeVersion="11" ma:contentTypeDescription="Create a new document." ma:contentTypeScope="" ma:versionID="83541f532d2ddc1f6399462ff504d6ee">
  <xsd:schema xmlns:xsd="http://www.w3.org/2001/XMLSchema" xmlns:xs="http://www.w3.org/2001/XMLSchema" xmlns:p="http://schemas.microsoft.com/office/2006/metadata/properties" xmlns:ns2="d4e3f49e-ae0d-494f-a07f-f697a472e2c3" targetNamespace="http://schemas.microsoft.com/office/2006/metadata/properties" ma:root="true" ma:fieldsID="c3745631f78553b0f12a071beec34213" ns2:_="">
    <xsd:import namespace="d4e3f49e-ae0d-494f-a07f-f697a472e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3f49e-ae0d-494f-a07f-f697a472e2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e3f49e-ae0d-494f-a07f-f697a472e2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847BD6-C768-459E-A72F-887652C39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3f49e-ae0d-494f-a07f-f697a472e2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217F7D-C887-4D46-BF98-9DFB720A2877}">
  <ds:schemaRefs>
    <ds:schemaRef ds:uri="http://schemas.microsoft.com/office/2006/metadata/properties"/>
    <ds:schemaRef ds:uri="http://schemas.microsoft.com/office/infopath/2007/PartnerControls"/>
    <ds:schemaRef ds:uri="d4e3f49e-ae0d-494f-a07f-f697a472e2c3"/>
  </ds:schemaRefs>
</ds:datastoreItem>
</file>

<file path=customXml/itemProps3.xml><?xml version="1.0" encoding="utf-8"?>
<ds:datastoreItem xmlns:ds="http://schemas.openxmlformats.org/officeDocument/2006/customXml" ds:itemID="{8C734F86-246F-4E2C-B11A-1585E8CE56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Notebook &amp; AIO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MyBook Prime E7</dc:creator>
  <cp:keywords/>
  <dc:description/>
  <cp:lastModifiedBy>Alward Putra</cp:lastModifiedBy>
  <cp:revision/>
  <dcterms:created xsi:type="dcterms:W3CDTF">2023-07-28T01:57:30Z</dcterms:created>
  <dcterms:modified xsi:type="dcterms:W3CDTF">2026-06-01T03:53:15Z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0x010100C493BFAEBD7834418D7B081F606224EE</vt:lpwstr>
  </property>
  <property fmtid="{D5CDD505-2E9C-101B-9397-08002B2CF9AE}" pid="3" name="MediaServiceImageTags">
    <vt:lpwstr/>
  </property>
</Properties>
</file>