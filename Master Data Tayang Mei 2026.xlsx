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TTA\Desktop\axioo-b2g-portal\"/>
    </mc:Choice>
  </mc:AlternateContent>
  <xr:revisionPtr revIDLastSave="0" documentId="13_ncr:1_{F6DDD71E-B267-4B6D-9787-96A683410FE6}" xr6:coauthVersionLast="47" xr6:coauthVersionMax="47" xr10:uidLastSave="{00000000-0000-0000-0000-000000000000}"/>
  <bookViews>
    <workbookView xWindow="-108" yWindow="-108" windowWidth="23256" windowHeight="13896" xr2:uid="{C1731BDA-90D7-446A-AC16-32857D973C76}"/>
  </bookViews>
  <sheets>
    <sheet name="Raw" sheetId="1" r:id="rId1"/>
  </sheets>
  <definedNames>
    <definedName name="_xlnm._FilterDatabase" localSheetId="0" hidden="1">Raw!$A$2:$X$2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3" i="1"/>
  <c r="V58" i="1"/>
  <c r="V59" i="1"/>
  <c r="V60" i="1"/>
  <c r="V55" i="1"/>
  <c r="V56" i="1"/>
  <c r="V57" i="1"/>
  <c r="V54" i="1"/>
  <c r="V53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37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61" i="1"/>
  <c r="V62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10" i="1"/>
  <c r="V11" i="1"/>
  <c r="V12" i="1"/>
  <c r="V13" i="1"/>
  <c r="V14" i="1"/>
  <c r="V15" i="1"/>
  <c r="V16" i="1"/>
  <c r="V17" i="1"/>
  <c r="V18" i="1"/>
  <c r="V4" i="1"/>
  <c r="V5" i="1"/>
  <c r="V6" i="1"/>
  <c r="V7" i="1"/>
  <c r="V8" i="1"/>
  <c r="V9" i="1"/>
  <c r="V3" i="1"/>
</calcChain>
</file>

<file path=xl/sharedStrings.xml><?xml version="1.0" encoding="utf-8"?>
<sst xmlns="http://schemas.openxmlformats.org/spreadsheetml/2006/main" count="2260" uniqueCount="355">
  <si>
    <t>MASTER DATA PRODUK</t>
  </si>
  <si>
    <t>SPESIFIKASI PRODUK</t>
  </si>
  <si>
    <t>SERTIFIKASI</t>
  </si>
  <si>
    <t>Series</t>
  </si>
  <si>
    <t>Processor</t>
  </si>
  <si>
    <t>Ram</t>
  </si>
  <si>
    <t>Storage</t>
  </si>
  <si>
    <t>Layar</t>
  </si>
  <si>
    <t>VGA</t>
  </si>
  <si>
    <t>OS</t>
  </si>
  <si>
    <t>Garansi</t>
  </si>
  <si>
    <t>Connection</t>
  </si>
  <si>
    <t>TKDN</t>
  </si>
  <si>
    <t>Nilai TKDN</t>
  </si>
  <si>
    <t>No Sertifikat TKDN</t>
  </si>
  <si>
    <t>Postel</t>
  </si>
  <si>
    <t>No Sertifikat Postel</t>
  </si>
  <si>
    <t>Nama Etalase</t>
  </si>
  <si>
    <t>RMP  (inc.ppn 11%)</t>
  </si>
  <si>
    <t>Link Produk</t>
  </si>
  <si>
    <t>Notebook</t>
  </si>
  <si>
    <t>MyBook Pro E1 (8N2)</t>
  </si>
  <si>
    <t>Mybook Pro</t>
  </si>
  <si>
    <t>N4500</t>
  </si>
  <si>
    <t>8GB</t>
  </si>
  <si>
    <t>256 GB SSD</t>
  </si>
  <si>
    <t>14"</t>
  </si>
  <si>
    <t>Integrated</t>
  </si>
  <si>
    <t>Win 11</t>
  </si>
  <si>
    <t>1 Tahun</t>
  </si>
  <si>
    <t>Wifi 5</t>
  </si>
  <si>
    <t>Yes</t>
  </si>
  <si>
    <t>11624/SJ-IND.8/E-TKDN/10/2024</t>
  </si>
  <si>
    <t>Master Produk</t>
  </si>
  <si>
    <t>https://penyedia.inaproc.id/master-products/1cdd36af-1ee4-41d6-aacc-bea33e924d19</t>
  </si>
  <si>
    <t>-</t>
  </si>
  <si>
    <t>MyBook Pro E1 (8N5)</t>
  </si>
  <si>
    <t>512 GB SSD</t>
  </si>
  <si>
    <t>11630/SJ-IND.8/E-TKDN/10/2024</t>
  </si>
  <si>
    <t>https://penyedia.inaproc.id/master-products/edacf4cd-da52-41aa-906a-3e13a85c2d1f</t>
  </si>
  <si>
    <t>MyBook Pro E1 (8N9)</t>
  </si>
  <si>
    <t>1 TB SSD</t>
  </si>
  <si>
    <t>19207/SJ-IND.8/E-TKDN/12/2024</t>
  </si>
  <si>
    <t>https://penyedia.inaproc.id/master-products/48cf07c6-cabe-41b2-975b-6ec5ccafe6e7</t>
  </si>
  <si>
    <t>MyBook Pro D1 (6S2)</t>
  </si>
  <si>
    <t>N4020</t>
  </si>
  <si>
    <t>6GB</t>
  </si>
  <si>
    <t>256GB SSD</t>
  </si>
  <si>
    <t>Win 10</t>
  </si>
  <si>
    <t>WiFi 5</t>
  </si>
  <si>
    <t>MyBook Pro H7 (8S2)</t>
  </si>
  <si>
    <t>i5-8257u</t>
  </si>
  <si>
    <t xml:space="preserve">1 Tahun </t>
  </si>
  <si>
    <t>https://penyedia.inaproc.id/master-products/c27216f9-feb0-436a-9e1a-9ee2957f4328</t>
  </si>
  <si>
    <t>MyBook Pro H7 (8S5)</t>
  </si>
  <si>
    <t>3819/SJ-IND.8/E-TKDN/6/2024</t>
  </si>
  <si>
    <t>https://penyedia.inaproc.id/master-products/4697a774-1585-4e8f-8f3e-f2b0c5266f9b</t>
  </si>
  <si>
    <t>MyBook Pro H7 (8S9)</t>
  </si>
  <si>
    <t>https://penyedia.inaproc.id/master-products/908df02d-0b77-490e-aafd-1172938eed94</t>
  </si>
  <si>
    <t>MyBook Pro H8 (8S5)</t>
  </si>
  <si>
    <t>i7-8557u</t>
  </si>
  <si>
    <t>https://penyedia.inaproc.id/master-products/3eb3c5df-9f90-463a-86cb-67975907d641</t>
  </si>
  <si>
    <t>MyBook Pro H8 (8S9)</t>
  </si>
  <si>
    <t>https://penyedia.inaproc.id/master-products/3e3e0622-b074-4344-8e59-ca56fafaf945</t>
  </si>
  <si>
    <t>MyBook Pro H8 (16S9)</t>
  </si>
  <si>
    <t>16GB</t>
  </si>
  <si>
    <t>3824/SJ-IND.8/E-TKDN/6/2024</t>
  </si>
  <si>
    <t>https://penyedia.inaproc.id/master-products/b00cdf85-1716-44b2-bc0f-972c7583eef5</t>
  </si>
  <si>
    <t>MyBook Pro 103.2 (4S1)</t>
  </si>
  <si>
    <t>i3-10110U</t>
  </si>
  <si>
    <t>4GB</t>
  </si>
  <si>
    <t>128 GB SSD</t>
  </si>
  <si>
    <t>11625/SJ-IND.8/E-TKDN/10/2024</t>
  </si>
  <si>
    <t>https://penyedia.inaproc.id/master-products/1550882d-9ce0-4882-99c6-a9085663c10c</t>
  </si>
  <si>
    <t>MyBook Pro 103.2 (4S2)</t>
  </si>
  <si>
    <t>11626/SJ-IND.8/E-TKDN/10/2024</t>
  </si>
  <si>
    <t>https://penyedia.inaproc.id/master-products/10751407-f4e9-4ab9-8bf8-e203e9c643d4</t>
  </si>
  <si>
    <t>MyBook Pro 103.2 (8S2)</t>
  </si>
  <si>
    <t>https://penyedia.inaproc.id/master-products/559d1e5c-8637-4a3d-ae6f-e3be06bc9575</t>
  </si>
  <si>
    <t>MyBook Pro 103.2 (8S5)</t>
  </si>
  <si>
    <t>3817/SJ-IND.8/E-TKDN/6/2024</t>
  </si>
  <si>
    <t>https://penyedia.inaproc.id/master-products/562d4ebe-47b3-4bea-a651-a148181c1d88</t>
  </si>
  <si>
    <t>MyBook Pro K3 (8N2)</t>
  </si>
  <si>
    <t>i3-1115G4</t>
  </si>
  <si>
    <t>256 GB NVME</t>
  </si>
  <si>
    <t xml:space="preserve">Win 10 </t>
  </si>
  <si>
    <t>MyBook Pro L3 (8N2)</t>
  </si>
  <si>
    <t>i3-1215U</t>
  </si>
  <si>
    <t>https://penyedia.inaproc.id/master-products/9ffd4073-a900-459d-892d-2ee5b1abb425</t>
  </si>
  <si>
    <t>MyBook Pro L3 (8N5)</t>
  </si>
  <si>
    <t>https://penyedia.inaproc.id/master-products/56cc9282-e419-4360-af61-6cd104bc6043</t>
  </si>
  <si>
    <t>MyBook Pro L3 (8N9)</t>
  </si>
  <si>
    <t>19210/SJ-IND.8/E-TKDN/12/2024</t>
  </si>
  <si>
    <t>https://penyedia.inaproc.id/master-products/2884f14c-a0a8-4b54-b461-2f1907f3a062</t>
  </si>
  <si>
    <t>MyBook Pro 105 (8N2)</t>
  </si>
  <si>
    <t>i5-1035G4</t>
  </si>
  <si>
    <t>MyBook Pro L5 (KB2)</t>
  </si>
  <si>
    <t>i5-1235U</t>
  </si>
  <si>
    <t>MyBook Pro L5 (8N2)</t>
  </si>
  <si>
    <t>https://penyedia.inaproc.id/master-products/2e329379-fd7a-47c2-85df-826ee4eb672d</t>
  </si>
  <si>
    <t>MyBook Pro L5 (8N5)</t>
  </si>
  <si>
    <t>MyBook Pro L5 (8N9)</t>
  </si>
  <si>
    <t>MyBook Pro M5 (8N2)</t>
  </si>
  <si>
    <t>i5-1334U</t>
  </si>
  <si>
    <t>3818/SJ-IND.8/E-TKDN/6/2024</t>
  </si>
  <si>
    <t>https://penyedia.inaproc.id/master-products/9120ab05-f162-4ee3-b460-3aa29ea6a0c1</t>
  </si>
  <si>
    <t>MyBook Pro M5 (8N5)</t>
  </si>
  <si>
    <t>https://penyedia.inaproc.id/master-products/70c0d8fa-f42c-436a-b749-2461aeecbf3e</t>
  </si>
  <si>
    <t>MyBook Pro M5 (8N9)</t>
  </si>
  <si>
    <t>3820/SJ-IND.8/E-TKDN/6/202</t>
  </si>
  <si>
    <t>https://penyedia.inaproc.id/master-products/88213171-49dc-45fb-b593-32113d2e3f6e</t>
  </si>
  <si>
    <t>MyBook Pro M5 (16N9)</t>
  </si>
  <si>
    <t xml:space="preserve"> 3821/SJ-IND.8/E-TKDN/6/2024</t>
  </si>
  <si>
    <t>https://penyedia.inaproc.id/master-products/82b20372-2fa1-4404-b1d4-e20720efa046</t>
  </si>
  <si>
    <t>MyBook Pro 107 (8S5)</t>
  </si>
  <si>
    <t>i7-1065G7</t>
  </si>
  <si>
    <t>https://penyedia.inaproc.id/master-products/c3f7efe8-4e84-4cca-bb57-af2a58637e39</t>
  </si>
  <si>
    <t>MyBook Pro 107 (8S9)</t>
  </si>
  <si>
    <t>https://penyedia.inaproc.id/master-products/12eedd9c-c4e9-4e0f-a94a-d33348d56b64</t>
  </si>
  <si>
    <t>MyBook Pro 107 (16S5)</t>
  </si>
  <si>
    <t>19213/SJ-IND.8/E-TKDN/12/2024</t>
  </si>
  <si>
    <t>https://penyedia.inaproc.id/master-products/9dfde1de-d1c5-4a88-ae81-3e68a6e3e062</t>
  </si>
  <si>
    <t>MyBook Pro 107 (16S9)</t>
  </si>
  <si>
    <t>https://penyedia.inaproc.id/master-products/72af56d4-2ab8-4620-b69c-98f6763a7598</t>
  </si>
  <si>
    <t>MyBook Pro 107 (16S18)</t>
  </si>
  <si>
    <t>2 TB SSD</t>
  </si>
  <si>
    <t>https://penyedia.inaproc.id/master-products/2b69106c-27ab-46d9-a100-a04e70c021b5</t>
  </si>
  <si>
    <t>MyBook Pro K7 (8N5)</t>
  </si>
  <si>
    <t>i7-1165G7</t>
  </si>
  <si>
    <t>MyBook Pro K7.2 (8N5)</t>
  </si>
  <si>
    <t>i7-1195G7</t>
  </si>
  <si>
    <t>https://penyedia.inaproc.id/master-products/9d671e17-9eb7-4a5a-95b0-166e39b3ed1b</t>
  </si>
  <si>
    <t>MyBook Pro K7.2 (8N9)</t>
  </si>
  <si>
    <t>https://penyedia.inaproc.id/master-products/b819afa7-24cf-4ef3-83bd-efdfb6abecea</t>
  </si>
  <si>
    <t>MyBook Pro K7.2 (16N5)</t>
  </si>
  <si>
    <t>512 GB SD</t>
  </si>
  <si>
    <t>https://penyedia.inaproc.id/master-products/e8f33048-0663-431a-a85f-00c791417a5b</t>
  </si>
  <si>
    <t>MyBook Pro K7.2 (16N9)</t>
  </si>
  <si>
    <t>https://penyedia.inaproc.id/master-products/15fc7056-e270-4fc3-a889-4f271770a8c8</t>
  </si>
  <si>
    <t>MyBook Pro K7.2 (16N18)</t>
  </si>
  <si>
    <t>https://penyedia.inaproc.id/master-products/9174f8b8-b60b-4bfc-bab0-19650758d104</t>
  </si>
  <si>
    <t>MyBook Pro L7 (8N5)</t>
  </si>
  <si>
    <t>i7-1255U</t>
  </si>
  <si>
    <t>3822/SJ-IND.8/E-TKDN/6/2024</t>
  </si>
  <si>
    <t>https://penyedia.inaproc.id/master-products/fe1bf585-fd42-45a3-9153-a15317affac6</t>
  </si>
  <si>
    <t>MyBook Pro L7 (8N9)</t>
  </si>
  <si>
    <t>3823/SJ-IND.8/E-TKDN/6/2024</t>
  </si>
  <si>
    <t>https://penyedia.inaproc.id/master-products/e6897fff-217e-45ea-84f4-17f12de22323</t>
  </si>
  <si>
    <t>MyBook Pro L7 (16N5)</t>
  </si>
  <si>
    <t>MyBook Pro L7 (16N9)</t>
  </si>
  <si>
    <t>https://penyedia.inaproc.id/master-products/12047cbf-9887-4b74-9d4c-e648d4caf6e6</t>
  </si>
  <si>
    <t>MyBook Pro L7 (16N18)</t>
  </si>
  <si>
    <t>MyBook Pro A5 (8N9)</t>
  </si>
  <si>
    <t>Ultra 5-125H</t>
  </si>
  <si>
    <t>1TB SSD</t>
  </si>
  <si>
    <t>WiFi 6</t>
  </si>
  <si>
    <t>https://penyedia.inaproc.id/master-products/e1809f8b-4447-4a77-bdb1-c27b8253bdf9</t>
  </si>
  <si>
    <t>MyBook Pro A5 (16N9)</t>
  </si>
  <si>
    <t>MyBook Pro A7 (8N9)</t>
  </si>
  <si>
    <t>Ultra 7-155H</t>
  </si>
  <si>
    <t>MyBook Pro A7 (16N9)</t>
  </si>
  <si>
    <t>MyBook Pro A7V (8N9)</t>
  </si>
  <si>
    <t>Ultra 7 155H</t>
  </si>
  <si>
    <t>6GB VGA</t>
  </si>
  <si>
    <t>MyBook Pro A7V (16N9)</t>
  </si>
  <si>
    <t>https://penyedia.inaproc.id/master-products/5dd2087a-9fb0-4ddc-8947-3d81b668b716</t>
  </si>
  <si>
    <t>MyBook Pro A7Z (16N9)</t>
  </si>
  <si>
    <t>Ultra 7-155u</t>
  </si>
  <si>
    <t>MyBook Pro K5V (16N9)</t>
  </si>
  <si>
    <t>i5-1135G7</t>
  </si>
  <si>
    <t>NVIDIA 3050 4GB</t>
  </si>
  <si>
    <t>https://penyedia.inaproc.id/master-products/d653c3c4-59ba-47d6-984f-c958bb4a4a54</t>
  </si>
  <si>
    <t>MyBook Pro K5V (32N9)</t>
  </si>
  <si>
    <t>32GB</t>
  </si>
  <si>
    <t>19211/SJ-IND.8/E-TKDN/12/2024</t>
  </si>
  <si>
    <t>MyBook Pro M7T (8N5)</t>
  </si>
  <si>
    <t>i7-1355U</t>
  </si>
  <si>
    <t>512GB</t>
  </si>
  <si>
    <t>14" Touch Screen</t>
  </si>
  <si>
    <t>https://penyedia.inaproc.id/master-products/6236f5d7-9255-4dd5-8f78-e97e127cce3f</t>
  </si>
  <si>
    <t>MyBook Pro M7T (16N9)</t>
  </si>
  <si>
    <t>https://penyedia.inaproc.id/master-products/32d490bb-e332-4dc7-b72d-8991fd195ae6</t>
  </si>
  <si>
    <t>MyBook Pro M7T (32N9)</t>
  </si>
  <si>
    <t>11628/SJ-IND.8/E-TKDN/10/2024</t>
  </si>
  <si>
    <t>https://penyedia.inaproc.id/master-products/42e3a73f-fed8-486a-a74f-9dda26c4324a</t>
  </si>
  <si>
    <t>MyBook Pro L7V (8N5)</t>
  </si>
  <si>
    <t>i7-1260P</t>
  </si>
  <si>
    <t>https://penyedia.inaproc.id/master-products/3ee1804a-d686-4d85-9e6a-fbaddeb33e93</t>
  </si>
  <si>
    <t>MyBook Pro L7V (16N9)</t>
  </si>
  <si>
    <t>https://penyedia.inaproc.id/master-products/79d5519f-506e-46c8-bf6e-ca62aa0344f3</t>
  </si>
  <si>
    <t>MyBook Pro L7V (32N9)</t>
  </si>
  <si>
    <t>https://penyedia.inaproc.id/master-products/6efa2886-35a3-4289-901a-40536f8daf11</t>
  </si>
  <si>
    <t>MyBook Prime 5 (KA1)</t>
  </si>
  <si>
    <t>Mybook Prime</t>
  </si>
  <si>
    <t>Ryzen 5 - 7540</t>
  </si>
  <si>
    <t>256GB NVME</t>
  </si>
  <si>
    <t>1 tahun</t>
  </si>
  <si>
    <t>13134/SJ-IND.8/E-TKDN/9/2025</t>
  </si>
  <si>
    <t>MyBook Prime 5 (KB1)</t>
  </si>
  <si>
    <t>Ryzen 5 - 7430U</t>
  </si>
  <si>
    <t>11508/SJ-IND.8/E-TKDN/7/2025</t>
  </si>
  <si>
    <t>MyBook Prime 5A (16N5)</t>
  </si>
  <si>
    <t>512GB NVME</t>
  </si>
  <si>
    <t>13115/SJ-IND.8/E-TKDN/9/2025</t>
  </si>
  <si>
    <t>MyBook Prime 5A (16N9)</t>
  </si>
  <si>
    <t>1TB NVME</t>
  </si>
  <si>
    <t>13116/SJ-IND.8/E-TKDN/9/2025</t>
  </si>
  <si>
    <t>MyBook Prime 5B (8N5)</t>
  </si>
  <si>
    <t>13114/SJ-IND.8/E-TKDN/9/2025</t>
  </si>
  <si>
    <t>MyBook Prime 5B (8N9)</t>
  </si>
  <si>
    <t>13113/SJ-IND.8/E-TKDN/9/2025</t>
  </si>
  <si>
    <t>MyBook Prime 5B (16N5)</t>
  </si>
  <si>
    <t>MyBook Prime 5B (16N9)</t>
  </si>
  <si>
    <t>All in One</t>
  </si>
  <si>
    <t>MyPC One Pro H8 (16S9)</t>
  </si>
  <si>
    <t>MyPC One Pro</t>
  </si>
  <si>
    <t>i7-8750H</t>
  </si>
  <si>
    <t>21.5"</t>
  </si>
  <si>
    <t>MyPC One Pro L1 (8S2)</t>
  </si>
  <si>
    <t>N100</t>
  </si>
  <si>
    <t>MyPC One Pro L1 (8S5)</t>
  </si>
  <si>
    <t>MyPC One Pro L1 (8S9)</t>
  </si>
  <si>
    <t>MyPC One Pro K3 (8N2)</t>
  </si>
  <si>
    <t>MyPC One Pro K3 (16N5)</t>
  </si>
  <si>
    <t>512 GB NVME</t>
  </si>
  <si>
    <t xml:space="preserve">MyPC One Pro L3-24 (16N5)
</t>
  </si>
  <si>
    <t>23.8"</t>
  </si>
  <si>
    <t>MyPC One Pro L3.2-24 (8N2)</t>
  </si>
  <si>
    <t>i3-1220P</t>
  </si>
  <si>
    <t>MyPC One Pro L3.2-24 (8N5)</t>
  </si>
  <si>
    <t>MyPC One Pro L3.2-24 (16N5)</t>
  </si>
  <si>
    <t>MyPC One Pro L3.2-24 (16N9)</t>
  </si>
  <si>
    <t>MyPC One Pro M5-24 (8N2)</t>
  </si>
  <si>
    <t>i5-13420H</t>
  </si>
  <si>
    <t>MyPC One Pro M5-24 (8N5)</t>
  </si>
  <si>
    <t>MyPC One Pro M5-24 (16N5)</t>
  </si>
  <si>
    <t>MyPC One Pro M5-24 (16N9)</t>
  </si>
  <si>
    <t>MyPC One Pro K7-24 (8N2)</t>
  </si>
  <si>
    <t>MyPC One Pro K7-24 (8N5)</t>
  </si>
  <si>
    <t>MyPC One Pro K7-24 (16N5)</t>
  </si>
  <si>
    <t>MyPC One Pro K7-24 (16N9)</t>
  </si>
  <si>
    <t>MyPC One Pro M7-24 (8N5)</t>
  </si>
  <si>
    <t>i7-13620H</t>
  </si>
  <si>
    <t>MyPC One Pro M7-24 (8N9)</t>
  </si>
  <si>
    <t>MyPC One Pro M7.2-24 (8N5)</t>
  </si>
  <si>
    <t>i7-13650HX</t>
  </si>
  <si>
    <t>MyPC One Pro M7.2-24 (8N9)</t>
  </si>
  <si>
    <t>MyPC One Pro M7.2-24 (16N9)</t>
  </si>
  <si>
    <t>MyPC One Pro L7V4-24 (16N9)</t>
  </si>
  <si>
    <t>i7-12700F</t>
  </si>
  <si>
    <t>GTX1650 4GB</t>
  </si>
  <si>
    <t>MyPC One Pro L7V6-24 (16N9)</t>
  </si>
  <si>
    <t>RTX 3050 6GB</t>
  </si>
  <si>
    <t>MyPC One Pro L7V6-24 (32N9)</t>
  </si>
  <si>
    <t>MyPC One Pro L7Z (16N9)</t>
  </si>
  <si>
    <t>27" (4K)</t>
  </si>
  <si>
    <t>MyPC One Pro L7Z (32N9)</t>
  </si>
  <si>
    <t>MyPC One Pro M7T-24 (8N5)</t>
  </si>
  <si>
    <t>23.8" Touch</t>
  </si>
  <si>
    <t>MyPC One Pro M7T-24 (16N5)</t>
  </si>
  <si>
    <t>MyPC One Pro M7T-24 (16N9)</t>
  </si>
  <si>
    <t>MyPC Pro L3 (8S1-22)</t>
  </si>
  <si>
    <t>MyPC Pro</t>
  </si>
  <si>
    <t>i3-12100</t>
  </si>
  <si>
    <t>128GB SSD</t>
  </si>
  <si>
    <t>21.5” FHD</t>
  </si>
  <si>
    <t>Win 11 Pro</t>
  </si>
  <si>
    <t>PC Desktop</t>
  </si>
  <si>
    <t>MyPC Pro L3 (8N2-22)</t>
  </si>
  <si>
    <t>MyPC Pro L3 (8N9-22-W)</t>
  </si>
  <si>
    <t>MyPC Pro L3 (16N5-22-W)</t>
  </si>
  <si>
    <t>512GB SSD</t>
  </si>
  <si>
    <t>MyPC Pro L3 (8S1H9-22-W)</t>
  </si>
  <si>
    <t>128GB SSD ; 1 TB HDD</t>
  </si>
  <si>
    <t>MyPC Pro L3 (8N2H9-22-W)</t>
  </si>
  <si>
    <t>256GB SSD ; 1 TB HDD</t>
  </si>
  <si>
    <t>MyPC Pro N3 (8N2-22-W)</t>
  </si>
  <si>
    <t>i3-14100</t>
  </si>
  <si>
    <t>MyPC Pro N3 (8N9-22-W)</t>
  </si>
  <si>
    <t>MyPC Pro N3 (16N5-22-W)</t>
  </si>
  <si>
    <t>MyPC Pro N3 (8S1H9-22)</t>
  </si>
  <si>
    <t>MyPC Pro N3 (8N2H9-22)</t>
  </si>
  <si>
    <t>MyPC Pro L5 (8N2-22)</t>
  </si>
  <si>
    <t>i5-12400</t>
  </si>
  <si>
    <t>MyPC Pro L5 (8N5-22-W)</t>
  </si>
  <si>
    <t>MyPC Pro L5 (16N5-22)</t>
  </si>
  <si>
    <t>MyPC Pro L5 (8S1H9-22)</t>
  </si>
  <si>
    <t>MyPC Pro L5 (8S1H18-22)</t>
  </si>
  <si>
    <t>128GB SSD ; 2 TB HDD</t>
  </si>
  <si>
    <t>MyPC Pro L5 (16N2H9-22)</t>
  </si>
  <si>
    <t>MyPC Pro L5 (16N2H18-22-W)</t>
  </si>
  <si>
    <t>256GB SSD ; 2 TB HDD</t>
  </si>
  <si>
    <t>MyPC Pro L5 (16N5H18-22-W)</t>
  </si>
  <si>
    <t>512GB SSD ; 2 TB HDD</t>
  </si>
  <si>
    <t>MyPC Pro M5 (8N5-22)</t>
  </si>
  <si>
    <t>i5-13400</t>
  </si>
  <si>
    <t>MyPC Pro M5 (16N5-22-W)</t>
  </si>
  <si>
    <t>MyPC Pro M5 (16N2H18-22-W)</t>
  </si>
  <si>
    <t>MyPC Pro M5 (8S1H18-22)</t>
  </si>
  <si>
    <t>MyPC Pro N5 (8N2H9-22-W)</t>
  </si>
  <si>
    <t>i5-14400</t>
  </si>
  <si>
    <t>MyPC Pro N5 (8N5H18-22-W)</t>
  </si>
  <si>
    <t>MyPC Pro N5 (16N5H18-22-W)</t>
  </si>
  <si>
    <t>MyPC Pro N5 (16N2H18-22)</t>
  </si>
  <si>
    <t>MyPC Pro N5 (16N5H18-22)</t>
  </si>
  <si>
    <t>MyPC Pro L7 (8N5-22)</t>
  </si>
  <si>
    <t>i7-12700</t>
  </si>
  <si>
    <t>MyPC Pro L7 (16N9-22)</t>
  </si>
  <si>
    <t>MyPC Pro L7 (8S1H9-22)</t>
  </si>
  <si>
    <t>MyPC Pro N7 (8N5H18-22)</t>
  </si>
  <si>
    <t>i7-14700</t>
  </si>
  <si>
    <t>MyPC Pro N7 (16N2H18-22)</t>
  </si>
  <si>
    <t>MyPC Pro L9 (16N9H36-22)</t>
  </si>
  <si>
    <t>i9-12900K</t>
  </si>
  <si>
    <t>1TB SSD ; 4 TB HDD</t>
  </si>
  <si>
    <t>MyPC Pro L9 (32N9H18-22)</t>
  </si>
  <si>
    <t>1TB SSD ; 2 TB HDD</t>
  </si>
  <si>
    <t>MyPC Pro N9 (64N18H36-22)</t>
  </si>
  <si>
    <t>i9-14900</t>
  </si>
  <si>
    <t>64GB</t>
  </si>
  <si>
    <t>2TB SSD ; 4 TB HDD</t>
  </si>
  <si>
    <t>MyPC Pro N9 (128N18H36-22)</t>
  </si>
  <si>
    <t>128GB</t>
  </si>
  <si>
    <t>MyPC Pro L3M (8S1-22)</t>
  </si>
  <si>
    <t>MyPC Pro L3M (8N2-22)</t>
  </si>
  <si>
    <t>MyPC Pro L3M (8N9-22)</t>
  </si>
  <si>
    <t>MyPC Pro L3M (16N5-22)</t>
  </si>
  <si>
    <t>MyPC Pro N3M (8N2-22)</t>
  </si>
  <si>
    <t>MyPC Pro N3M (8N9-22)</t>
  </si>
  <si>
    <t>MyPC Pro N3M (16N5-22)</t>
  </si>
  <si>
    <t>MyPC Pro L5M (8N2-22)</t>
  </si>
  <si>
    <t>MyPC Pro L5M (8N5-22)</t>
  </si>
  <si>
    <t>MyPC Pro L5M (16N5-22)</t>
  </si>
  <si>
    <t>MyPC Pro N5M (8N2-22)</t>
  </si>
  <si>
    <t>MyPC Pro N5M (8N5-22)</t>
  </si>
  <si>
    <t>MyPC Pro N5M (16N5-22)</t>
  </si>
  <si>
    <t>MyPC Pro L7M (8N5-22)</t>
  </si>
  <si>
    <t>MyPC Pro L7M (16N5-22)</t>
  </si>
  <si>
    <t>MyPC Pro L7M (16N9-22)</t>
  </si>
  <si>
    <t>MyPC Pro N7M (8N5-22)</t>
  </si>
  <si>
    <t>MyPC Pro N7M (16N5-22)</t>
  </si>
  <si>
    <t>MyPC Pro N7M (16N9-22)</t>
  </si>
  <si>
    <t>110161/DJID/2025</t>
  </si>
  <si>
    <t>9729/SJ-IND.8/E-TKDN/7/2025</t>
  </si>
  <si>
    <t>9728/SJ-IND.8/E-TKDN/7/2025</t>
  </si>
  <si>
    <t>9726/SJ-IND.8/E-TKDN/7/2025</t>
  </si>
  <si>
    <t>9727/SJ-IND.8/E-TKDN/7/2025</t>
  </si>
  <si>
    <t>3812/SJ-IND.8/E-TKDN/6/2024</t>
  </si>
  <si>
    <t>19209/SJ-IND.8/E-TKDN/12/2024</t>
  </si>
  <si>
    <t>Type</t>
  </si>
  <si>
    <t>Product Name</t>
  </si>
  <si>
    <t>Expired Date TKDN</t>
  </si>
  <si>
    <t>Start Date TKDN</t>
  </si>
  <si>
    <t>Start Date BMP</t>
  </si>
  <si>
    <t>Expired Date BMP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</si>
</sst>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[$Rp-421]* #,##0_-;\-[$Rp-421]* #,##0_-;_-[$Rp-421]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u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9" fontId="0" fillId="0" borderId="0" xfId="2" applyFont="1" applyBorder="1" applyAlignment="1">
      <alignment horizontal="center"/>
    </xf>
    <xf numFmtId="9" fontId="0" fillId="0" borderId="0" xfId="2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9" fontId="5" fillId="4" borderId="0" xfId="2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4" fontId="0" fillId="0" borderId="0" xfId="0" applyNumberFormat="1"/>
    <xf numFmtId="0" fontId="6" fillId="0" borderId="0" xfId="3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165" fontId="5" fillId="5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7" fillId="0" borderId="0" xfId="0" applyFont="1"/>
    <xf numFmtId="0" fontId="6" fillId="0" borderId="0" xfId="3" applyFill="1" applyBorder="1" applyAlignment="1"/>
    <xf numFmtId="0" fontId="0" fillId="6" borderId="0" xfId="0" applyFill="1"/>
    <xf numFmtId="0" fontId="9" fillId="0" borderId="0" xfId="3" applyFont="1"/>
    <xf numFmtId="0" fontId="8" fillId="0" borderId="0" xfId="0" applyFont="1"/>
    <xf numFmtId="43" fontId="0" fillId="0" borderId="0" xfId="1" applyFont="1" applyAlignment="1"/>
    <xf numFmtId="9" fontId="0" fillId="0" borderId="0" xfId="2" applyFont="1" applyBorder="1" applyAlignment="1"/>
    <xf numFmtId="9" fontId="0" fillId="0" borderId="0" xfId="1" applyNumberFormat="1" applyFont="1" applyBorder="1" applyAlignment="1"/>
    <xf numFmtId="0" fontId="0" fillId="0" borderId="0" xfId="0" applyAlignment="1">
      <alignment horizontal="left"/>
    </xf>
    <xf numFmtId="10" fontId="5" fillId="4" borderId="0" xfId="1" applyNumberFormat="1" applyFont="1" applyFill="1" applyAlignment="1">
      <alignment horizontal="center" vertical="center"/>
    </xf>
    <xf numFmtId="10" fontId="0" fillId="0" borderId="0" xfId="2" applyNumberFormat="1" applyFont="1" applyBorder="1" applyAlignment="1">
      <alignment horizontal="center"/>
    </xf>
    <xf numFmtId="10" fontId="0" fillId="0" borderId="0" xfId="1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0" fontId="11" fillId="0" borderId="0" xfId="0" applyFont="1"/>
    <xf numFmtId="0" fontId="10" fillId="6" borderId="0" xfId="0" applyFont="1" applyFill="1"/>
    <xf numFmtId="15" fontId="0" fillId="0" borderId="0" xfId="2" applyNumberFormat="1" applyFont="1" applyBorder="1" applyAlignment="1">
      <alignment horizontal="center"/>
    </xf>
    <xf numFmtId="15" fontId="0" fillId="0" borderId="0" xfId="0" applyNumberFormat="1" applyAlignment="1">
      <alignment horizontal="center"/>
    </xf>
    <xf numFmtId="15" fontId="7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enyedia.inaproc.id/master-products/562d4ebe-47b3-4bea-a651-a148181c1d88" TargetMode="External"/><Relationship Id="rId18" Type="http://schemas.openxmlformats.org/officeDocument/2006/relationships/hyperlink" Target="https://penyedia.inaproc.id/master-products/70c0d8fa-f42c-436a-b749-2461aeecbf3e" TargetMode="External"/><Relationship Id="rId26" Type="http://schemas.openxmlformats.org/officeDocument/2006/relationships/hyperlink" Target="https://penyedia.inaproc.id/master-products/15fc7056-e270-4fc3-a889-4f271770a8c8" TargetMode="External"/><Relationship Id="rId39" Type="http://schemas.openxmlformats.org/officeDocument/2006/relationships/hyperlink" Target="https://penyedia.inaproc.id/master-products/32d490bb-e332-4dc7-b72d-8991fd195ae6" TargetMode="External"/><Relationship Id="rId21" Type="http://schemas.openxmlformats.org/officeDocument/2006/relationships/hyperlink" Target="https://penyedia.inaproc.id/master-products/c3f7efe8-4e84-4cca-bb57-af2a58637e39" TargetMode="External"/><Relationship Id="rId34" Type="http://schemas.openxmlformats.org/officeDocument/2006/relationships/hyperlink" Target="https://penyedia.inaproc.id/master-products/e1809f8b-4447-4a77-bdb1-c27b8253bdf9" TargetMode="External"/><Relationship Id="rId42" Type="http://schemas.openxmlformats.org/officeDocument/2006/relationships/hyperlink" Target="https://penyedia.inaproc.id/master-products/79d5519f-506e-46c8-bf6e-ca62aa0344f3" TargetMode="External"/><Relationship Id="rId7" Type="http://schemas.openxmlformats.org/officeDocument/2006/relationships/hyperlink" Target="https://penyedia.inaproc.id/master-products/3eb3c5df-9f90-463a-86cb-67975907d641" TargetMode="External"/><Relationship Id="rId2" Type="http://schemas.openxmlformats.org/officeDocument/2006/relationships/hyperlink" Target="https://penyedia.inaproc.id/master-products/edacf4cd-da52-41aa-906a-3e13a85c2d1f" TargetMode="External"/><Relationship Id="rId16" Type="http://schemas.openxmlformats.org/officeDocument/2006/relationships/hyperlink" Target="https://penyedia.inaproc.id/master-products/2884f14c-a0a8-4b54-b461-2f1907f3a062" TargetMode="External"/><Relationship Id="rId20" Type="http://schemas.openxmlformats.org/officeDocument/2006/relationships/hyperlink" Target="https://penyedia.inaproc.id/master-products/82b20372-2fa1-4404-b1d4-e20720efa046" TargetMode="External"/><Relationship Id="rId29" Type="http://schemas.openxmlformats.org/officeDocument/2006/relationships/hyperlink" Target="https://penyedia.inaproc.id/master-products/9d671e17-9eb7-4a5a-95b0-166e39b3ed1b" TargetMode="External"/><Relationship Id="rId41" Type="http://schemas.openxmlformats.org/officeDocument/2006/relationships/hyperlink" Target="https://penyedia.inaproc.id/master-products/6efa2886-35a3-4289-901a-40536f8daf11" TargetMode="External"/><Relationship Id="rId1" Type="http://schemas.openxmlformats.org/officeDocument/2006/relationships/hyperlink" Target="https://penyedia.inaproc.id/master-products/1cdd36af-1ee4-41d6-aacc-bea33e924d19" TargetMode="External"/><Relationship Id="rId6" Type="http://schemas.openxmlformats.org/officeDocument/2006/relationships/hyperlink" Target="https://penyedia.inaproc.id/master-products/c27216f9-feb0-436a-9e1a-9ee2957f4328" TargetMode="External"/><Relationship Id="rId11" Type="http://schemas.openxmlformats.org/officeDocument/2006/relationships/hyperlink" Target="https://penyedia.inaproc.id/master-products/10751407-f4e9-4ab9-8bf8-e203e9c643d4" TargetMode="External"/><Relationship Id="rId24" Type="http://schemas.openxmlformats.org/officeDocument/2006/relationships/hyperlink" Target="https://penyedia.inaproc.id/master-products/72af56d4-2ab8-4620-b69c-98f6763a7598" TargetMode="External"/><Relationship Id="rId32" Type="http://schemas.openxmlformats.org/officeDocument/2006/relationships/hyperlink" Target="https://penyedia.inaproc.id/master-products/e6897fff-217e-45ea-84f4-17f12de22323" TargetMode="External"/><Relationship Id="rId37" Type="http://schemas.openxmlformats.org/officeDocument/2006/relationships/hyperlink" Target="https://penyedia.inaproc.id/master-products/d653c3c4-59ba-47d6-984f-c958bb4a4a54" TargetMode="External"/><Relationship Id="rId40" Type="http://schemas.openxmlformats.org/officeDocument/2006/relationships/hyperlink" Target="https://penyedia.inaproc.id/master-products/42e3a73f-fed8-486a-a74f-9dda26c4324a" TargetMode="External"/><Relationship Id="rId5" Type="http://schemas.openxmlformats.org/officeDocument/2006/relationships/hyperlink" Target="https://penyedia.inaproc.id/master-products/4697a774-1585-4e8f-8f3e-f2b0c5266f9b" TargetMode="External"/><Relationship Id="rId15" Type="http://schemas.openxmlformats.org/officeDocument/2006/relationships/hyperlink" Target="https://penyedia.inaproc.id/master-products/56cc9282-e419-4360-af61-6cd104bc6043" TargetMode="External"/><Relationship Id="rId23" Type="http://schemas.openxmlformats.org/officeDocument/2006/relationships/hyperlink" Target="https://penyedia.inaproc.id/master-products/9dfde1de-d1c5-4a88-ae81-3e68a6e3e062" TargetMode="External"/><Relationship Id="rId28" Type="http://schemas.openxmlformats.org/officeDocument/2006/relationships/hyperlink" Target="https://penyedia.inaproc.id/master-products/b819afa7-24cf-4ef3-83bd-efdfb6abecea" TargetMode="External"/><Relationship Id="rId36" Type="http://schemas.openxmlformats.org/officeDocument/2006/relationships/hyperlink" Target="https://penyedia.inaproc.id/master-products/2e329379-fd7a-47c2-85df-826ee4eb672d" TargetMode="External"/><Relationship Id="rId10" Type="http://schemas.openxmlformats.org/officeDocument/2006/relationships/hyperlink" Target="https://penyedia.inaproc.id/master-products/1550882d-9ce0-4882-99c6-a9085663c10c" TargetMode="External"/><Relationship Id="rId19" Type="http://schemas.openxmlformats.org/officeDocument/2006/relationships/hyperlink" Target="https://penyedia.inaproc.id/master-products/88213171-49dc-45fb-b593-32113d2e3f6e" TargetMode="External"/><Relationship Id="rId31" Type="http://schemas.openxmlformats.org/officeDocument/2006/relationships/hyperlink" Target="https://penyedia.inaproc.id/master-products/fe1bf585-fd42-45a3-9153-a15317affac6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s://penyedia.inaproc.id/master-products/908df02d-0b77-490e-aafd-1172938eed94" TargetMode="External"/><Relationship Id="rId9" Type="http://schemas.openxmlformats.org/officeDocument/2006/relationships/hyperlink" Target="https://penyedia.inaproc.id/master-products/b00cdf85-1716-44b2-bc0f-972c7583eef5" TargetMode="External"/><Relationship Id="rId14" Type="http://schemas.openxmlformats.org/officeDocument/2006/relationships/hyperlink" Target="https://penyedia.inaproc.id/master-products/9ffd4073-a900-459d-892d-2ee5b1abb425" TargetMode="External"/><Relationship Id="rId22" Type="http://schemas.openxmlformats.org/officeDocument/2006/relationships/hyperlink" Target="https://penyedia.inaproc.id/master-products/12eedd9c-c4e9-4e0f-a94a-d33348d56b64" TargetMode="External"/><Relationship Id="rId27" Type="http://schemas.openxmlformats.org/officeDocument/2006/relationships/hyperlink" Target="https://penyedia.inaproc.id/master-products/e8f33048-0663-431a-a85f-00c791417a5b" TargetMode="External"/><Relationship Id="rId30" Type="http://schemas.openxmlformats.org/officeDocument/2006/relationships/hyperlink" Target="https://penyedia.inaproc.id/master-products/9174f8b8-b60b-4bfc-bab0-19650758d104" TargetMode="External"/><Relationship Id="rId35" Type="http://schemas.openxmlformats.org/officeDocument/2006/relationships/hyperlink" Target="https://penyedia.inaproc.id/master-products/5dd2087a-9fb0-4ddc-8947-3d81b668b716" TargetMode="External"/><Relationship Id="rId43" Type="http://schemas.openxmlformats.org/officeDocument/2006/relationships/hyperlink" Target="https://penyedia.inaproc.id/master-products/3ee1804a-d686-4d85-9e6a-fbaddeb33e93" TargetMode="External"/><Relationship Id="rId8" Type="http://schemas.openxmlformats.org/officeDocument/2006/relationships/hyperlink" Target="https://penyedia.inaproc.id/master-products/3e3e0622-b074-4344-8e59-ca56fafaf945" TargetMode="External"/><Relationship Id="rId3" Type="http://schemas.openxmlformats.org/officeDocument/2006/relationships/hyperlink" Target="https://penyedia.inaproc.id/master-products/48cf07c6-cabe-41b2-975b-6ec5ccafe6e7" TargetMode="External"/><Relationship Id="rId12" Type="http://schemas.openxmlformats.org/officeDocument/2006/relationships/hyperlink" Target="https://penyedia.inaproc.id/master-products/559d1e5c-8637-4a3d-ae6f-e3be06bc9575" TargetMode="External"/><Relationship Id="rId17" Type="http://schemas.openxmlformats.org/officeDocument/2006/relationships/hyperlink" Target="https://penyedia.inaproc.id/master-products/9120ab05-f162-4ee3-b460-3aa29ea6a0c1" TargetMode="External"/><Relationship Id="rId25" Type="http://schemas.openxmlformats.org/officeDocument/2006/relationships/hyperlink" Target="https://penyedia.inaproc.id/master-products/2b69106c-27ab-46d9-a100-a04e70c021b5" TargetMode="External"/><Relationship Id="rId33" Type="http://schemas.openxmlformats.org/officeDocument/2006/relationships/hyperlink" Target="https://penyedia.inaproc.id/master-products/12047cbf-9887-4b74-9d4c-e648d4caf6e6" TargetMode="External"/><Relationship Id="rId38" Type="http://schemas.openxmlformats.org/officeDocument/2006/relationships/hyperlink" Target="https://penyedia.inaproc.id/master-products/6236f5d7-9255-4dd5-8f78-e97e127cce3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FD989-C731-48F4-B478-F96E4507CE66}">
  <sheetPr filterMode="1"/>
  <dimension ref="A1:X163"/>
  <sheetViews>
    <sheetView tabSelected="1" zoomScale="80" zoomScaleNormal="80" workbookViewId="0">
      <pane xSplit="2" ySplit="2" topLeftCell="P37" activePane="bottomRight" state="frozen"/>
      <selection pane="topRight"/>
      <selection pane="bottomLeft"/>
      <selection pane="bottomRight" activeCell="X15" sqref="X15"/>
    </sheetView>
  </sheetViews>
  <sheetFormatPr defaultColWidth="9.109375" defaultRowHeight="15" customHeight="1" x14ac:dyDescent="0.3"/>
  <cols>
    <col min="1" max="1" width="10.44140625" customWidth="1"/>
    <col min="2" max="2" width="27.21875" bestFit="1" customWidth="1"/>
    <col min="3" max="3" width="14.5546875" customWidth="1"/>
    <col min="4" max="4" width="15.44140625" customWidth="1"/>
    <col min="5" max="5" width="6.88671875" customWidth="1"/>
    <col min="6" max="6" width="14" customWidth="1"/>
    <col min="7" max="7" width="10.44140625" customWidth="1"/>
    <col min="8" max="8" width="16.44140625" customWidth="1"/>
    <col min="9" max="9" width="10.88671875" customWidth="1"/>
    <col min="10" max="10" width="10.6640625" customWidth="1"/>
    <col min="11" max="11" width="16.33203125" style="31" bestFit="1" customWidth="1"/>
    <col min="12" max="12" width="7.88671875" style="3" customWidth="1"/>
    <col min="13" max="13" width="15.6640625" style="29" bestFit="1" customWidth="1"/>
    <col min="14" max="14" width="29.109375" bestFit="1" customWidth="1"/>
    <col min="15" max="15" width="20.21875" customWidth="1"/>
    <col min="16" max="16" width="17.88671875" style="31" bestFit="1" customWidth="1"/>
    <col min="17" max="17" width="12.33203125" customWidth="1"/>
    <col min="18" max="18" width="13.44140625" customWidth="1"/>
    <col min="19" max="20" width="15.5546875" customWidth="1"/>
    <col min="21" max="21" width="15.6640625" bestFit="1" customWidth="1"/>
    <col min="22" max="22" width="17.33203125" style="16" customWidth="1"/>
    <col min="23" max="23" width="15.88671875" style="16" customWidth="1"/>
    <col min="24" max="24" width="78.5546875" customWidth="1"/>
  </cols>
  <sheetData>
    <row r="1" spans="1:24" s="1" customFormat="1" ht="18" x14ac:dyDescent="0.35">
      <c r="A1" s="38" t="s">
        <v>0</v>
      </c>
      <c r="B1" s="38"/>
      <c r="C1" s="38"/>
      <c r="D1" s="38"/>
      <c r="E1" s="38" t="s">
        <v>1</v>
      </c>
      <c r="F1" s="38"/>
      <c r="G1" s="38"/>
      <c r="H1" s="38"/>
      <c r="I1" s="38"/>
      <c r="J1" s="38"/>
      <c r="K1" s="38"/>
      <c r="L1" s="38"/>
      <c r="M1" s="39" t="s">
        <v>2</v>
      </c>
      <c r="N1" s="38"/>
      <c r="O1" s="38"/>
      <c r="P1" s="38"/>
      <c r="Q1" s="38"/>
      <c r="R1" s="38"/>
      <c r="S1" s="38"/>
      <c r="T1" s="38"/>
      <c r="U1" s="38"/>
      <c r="V1" s="40"/>
      <c r="W1" s="40"/>
      <c r="X1" s="14"/>
    </row>
    <row r="2" spans="1:24" s="4" customFormat="1" ht="28.8" x14ac:dyDescent="0.3">
      <c r="A2" s="5" t="s">
        <v>349</v>
      </c>
      <c r="B2" s="5" t="s">
        <v>350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7" t="s">
        <v>12</v>
      </c>
      <c r="M2" s="27" t="s">
        <v>13</v>
      </c>
      <c r="N2" s="8" t="s">
        <v>14</v>
      </c>
      <c r="O2" s="9" t="s">
        <v>352</v>
      </c>
      <c r="P2" s="9" t="s">
        <v>351</v>
      </c>
      <c r="Q2" s="8" t="s">
        <v>353</v>
      </c>
      <c r="R2" s="8" t="s">
        <v>354</v>
      </c>
      <c r="S2" s="9" t="s">
        <v>15</v>
      </c>
      <c r="T2" s="8" t="s">
        <v>16</v>
      </c>
      <c r="U2" s="10" t="s">
        <v>17</v>
      </c>
      <c r="V2" s="15" t="s">
        <v>18</v>
      </c>
      <c r="W2" s="15" t="s">
        <v>18</v>
      </c>
      <c r="X2" s="10" t="s">
        <v>19</v>
      </c>
    </row>
    <row r="3" spans="1:24" ht="14.4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s="31" t="s">
        <v>30</v>
      </c>
      <c r="L3" s="2" t="s">
        <v>31</v>
      </c>
      <c r="M3" s="28">
        <v>0.33679999999999999</v>
      </c>
      <c r="N3" s="24" t="s">
        <v>32</v>
      </c>
      <c r="O3" s="35">
        <f>P3-1095</f>
        <v>45581</v>
      </c>
      <c r="P3" s="35">
        <v>46676</v>
      </c>
      <c r="Q3" s="35">
        <v>45791</v>
      </c>
      <c r="R3" s="36">
        <f>Q3+1095</f>
        <v>46886</v>
      </c>
      <c r="S3" s="2" t="s">
        <v>31</v>
      </c>
      <c r="T3" s="2" t="s">
        <v>342</v>
      </c>
      <c r="U3" t="s">
        <v>33</v>
      </c>
      <c r="V3" s="16">
        <f>W3/1.11</f>
        <v>10117117.117117116</v>
      </c>
      <c r="W3" s="16">
        <v>11230000</v>
      </c>
      <c r="X3" s="12" t="s">
        <v>34</v>
      </c>
    </row>
    <row r="4" spans="1:24" ht="14.4" x14ac:dyDescent="0.3">
      <c r="A4" t="s">
        <v>20</v>
      </c>
      <c r="B4" t="s">
        <v>36</v>
      </c>
      <c r="C4" t="s">
        <v>22</v>
      </c>
      <c r="D4" t="s">
        <v>23</v>
      </c>
      <c r="E4" t="s">
        <v>24</v>
      </c>
      <c r="F4" t="s">
        <v>37</v>
      </c>
      <c r="G4" t="s">
        <v>26</v>
      </c>
      <c r="H4" t="s">
        <v>27</v>
      </c>
      <c r="I4" t="s">
        <v>28</v>
      </c>
      <c r="J4" t="s">
        <v>29</v>
      </c>
      <c r="K4" s="31" t="s">
        <v>30</v>
      </c>
      <c r="L4" s="2" t="s">
        <v>31</v>
      </c>
      <c r="M4" s="28">
        <v>0.3296</v>
      </c>
      <c r="N4" s="24" t="s">
        <v>38</v>
      </c>
      <c r="O4" s="35">
        <f t="shared" ref="O4:O67" si="0">P4-1095</f>
        <v>45581</v>
      </c>
      <c r="P4" s="35">
        <v>46676</v>
      </c>
      <c r="Q4" s="35">
        <v>45791</v>
      </c>
      <c r="R4" s="36">
        <f t="shared" ref="R4:R67" si="1">Q4+1095</f>
        <v>46886</v>
      </c>
      <c r="S4" s="2" t="s">
        <v>31</v>
      </c>
      <c r="T4" s="2" t="s">
        <v>342</v>
      </c>
      <c r="U4" t="s">
        <v>33</v>
      </c>
      <c r="V4" s="16">
        <f t="shared" ref="V4:V74" si="2">W4/1.11</f>
        <v>11810810.81081081</v>
      </c>
      <c r="W4" s="16">
        <v>13110000</v>
      </c>
      <c r="X4" s="12" t="s">
        <v>39</v>
      </c>
    </row>
    <row r="5" spans="1:24" ht="14.4" x14ac:dyDescent="0.3">
      <c r="A5" t="s">
        <v>20</v>
      </c>
      <c r="B5" t="s">
        <v>40</v>
      </c>
      <c r="C5" t="s">
        <v>22</v>
      </c>
      <c r="D5" t="s">
        <v>23</v>
      </c>
      <c r="E5" t="s">
        <v>24</v>
      </c>
      <c r="F5" t="s">
        <v>41</v>
      </c>
      <c r="G5" t="s">
        <v>26</v>
      </c>
      <c r="H5" t="s">
        <v>27</v>
      </c>
      <c r="I5" t="s">
        <v>28</v>
      </c>
      <c r="J5" t="s">
        <v>29</v>
      </c>
      <c r="K5" s="31" t="s">
        <v>30</v>
      </c>
      <c r="L5" s="2" t="s">
        <v>31</v>
      </c>
      <c r="M5" s="28">
        <v>0.32519999999999999</v>
      </c>
      <c r="N5" s="24" t="s">
        <v>42</v>
      </c>
      <c r="O5" s="35">
        <f t="shared" si="0"/>
        <v>45646</v>
      </c>
      <c r="P5" s="35">
        <v>46741</v>
      </c>
      <c r="Q5" s="35">
        <v>45791</v>
      </c>
      <c r="R5" s="36">
        <f t="shared" si="1"/>
        <v>46886</v>
      </c>
      <c r="S5" s="2" t="s">
        <v>31</v>
      </c>
      <c r="T5" s="2" t="s">
        <v>342</v>
      </c>
      <c r="U5" t="s">
        <v>33</v>
      </c>
      <c r="V5" s="16">
        <f t="shared" si="2"/>
        <v>15297297.297297295</v>
      </c>
      <c r="W5" s="16">
        <v>16980000</v>
      </c>
      <c r="X5" s="12" t="s">
        <v>43</v>
      </c>
    </row>
    <row r="6" spans="1:24" ht="14.4" x14ac:dyDescent="0.3">
      <c r="A6" t="s">
        <v>20</v>
      </c>
      <c r="B6" t="s">
        <v>44</v>
      </c>
      <c r="C6" t="s">
        <v>22</v>
      </c>
      <c r="D6" t="s">
        <v>45</v>
      </c>
      <c r="E6" t="s">
        <v>46</v>
      </c>
      <c r="F6" t="s">
        <v>47</v>
      </c>
      <c r="G6" t="s">
        <v>26</v>
      </c>
      <c r="H6" t="s">
        <v>27</v>
      </c>
      <c r="I6" t="s">
        <v>48</v>
      </c>
      <c r="J6" t="s">
        <v>29</v>
      </c>
      <c r="K6" s="31" t="s">
        <v>49</v>
      </c>
      <c r="L6" s="2" t="s">
        <v>31</v>
      </c>
      <c r="M6" s="28"/>
      <c r="N6" s="25" t="s">
        <v>35</v>
      </c>
      <c r="O6" s="35" t="e">
        <f t="shared" si="0"/>
        <v>#VALUE!</v>
      </c>
      <c r="P6" s="31" t="s">
        <v>35</v>
      </c>
      <c r="Q6" s="35">
        <v>45791</v>
      </c>
      <c r="R6" s="36">
        <f t="shared" si="1"/>
        <v>46886</v>
      </c>
      <c r="S6" s="2" t="s">
        <v>31</v>
      </c>
      <c r="T6" s="2" t="s">
        <v>342</v>
      </c>
      <c r="V6" s="16">
        <f t="shared" si="2"/>
        <v>7909909.9099099096</v>
      </c>
      <c r="W6" s="16">
        <v>8780000</v>
      </c>
      <c r="X6" t="s">
        <v>35</v>
      </c>
    </row>
    <row r="7" spans="1:24" ht="14.4" x14ac:dyDescent="0.3">
      <c r="A7" t="s">
        <v>20</v>
      </c>
      <c r="B7" t="s">
        <v>50</v>
      </c>
      <c r="C7" t="s">
        <v>22</v>
      </c>
      <c r="D7" t="s">
        <v>51</v>
      </c>
      <c r="E7" t="s">
        <v>24</v>
      </c>
      <c r="F7" t="s">
        <v>25</v>
      </c>
      <c r="G7" t="s">
        <v>26</v>
      </c>
      <c r="H7" t="s">
        <v>27</v>
      </c>
      <c r="I7" t="s">
        <v>48</v>
      </c>
      <c r="J7" t="s">
        <v>52</v>
      </c>
      <c r="K7" s="31" t="s">
        <v>49</v>
      </c>
      <c r="L7" s="2" t="s">
        <v>31</v>
      </c>
      <c r="M7" s="28"/>
      <c r="N7" s="25" t="s">
        <v>104</v>
      </c>
      <c r="O7" s="35">
        <f t="shared" si="0"/>
        <v>45463</v>
      </c>
      <c r="P7" s="36">
        <v>46558</v>
      </c>
      <c r="Q7" s="35">
        <v>45791</v>
      </c>
      <c r="R7" s="36">
        <f t="shared" si="1"/>
        <v>46886</v>
      </c>
      <c r="S7" s="2" t="s">
        <v>31</v>
      </c>
      <c r="T7" s="2" t="s">
        <v>342</v>
      </c>
      <c r="U7" t="s">
        <v>33</v>
      </c>
      <c r="V7" s="16">
        <f t="shared" si="2"/>
        <v>12234234.234234232</v>
      </c>
      <c r="W7" s="16">
        <v>13580000</v>
      </c>
      <c r="X7" s="12" t="s">
        <v>53</v>
      </c>
    </row>
    <row r="8" spans="1:24" ht="14.4" x14ac:dyDescent="0.3">
      <c r="A8" t="s">
        <v>20</v>
      </c>
      <c r="B8" t="s">
        <v>54</v>
      </c>
      <c r="C8" t="s">
        <v>22</v>
      </c>
      <c r="D8" t="s">
        <v>51</v>
      </c>
      <c r="E8" t="s">
        <v>24</v>
      </c>
      <c r="F8" t="s">
        <v>37</v>
      </c>
      <c r="G8" t="s">
        <v>26</v>
      </c>
      <c r="H8" t="s">
        <v>27</v>
      </c>
      <c r="I8" t="s">
        <v>48</v>
      </c>
      <c r="J8" t="s">
        <v>52</v>
      </c>
      <c r="K8" s="31" t="s">
        <v>49</v>
      </c>
      <c r="L8" s="2" t="s">
        <v>31</v>
      </c>
      <c r="M8" s="28">
        <v>0.30059999999999998</v>
      </c>
      <c r="N8" s="25" t="s">
        <v>55</v>
      </c>
      <c r="O8" s="35">
        <f t="shared" si="0"/>
        <v>45463</v>
      </c>
      <c r="P8" s="36">
        <v>46558</v>
      </c>
      <c r="Q8" s="35">
        <v>45791</v>
      </c>
      <c r="R8" s="36">
        <f t="shared" si="1"/>
        <v>46886</v>
      </c>
      <c r="S8" s="2" t="s">
        <v>31</v>
      </c>
      <c r="T8" s="2" t="s">
        <v>342</v>
      </c>
      <c r="U8" t="s">
        <v>33</v>
      </c>
      <c r="V8" s="16">
        <f t="shared" si="2"/>
        <v>13936936.936936935</v>
      </c>
      <c r="W8" s="16">
        <v>15470000</v>
      </c>
      <c r="X8" s="12" t="s">
        <v>56</v>
      </c>
    </row>
    <row r="9" spans="1:24" ht="14.4" x14ac:dyDescent="0.3">
      <c r="A9" t="s">
        <v>20</v>
      </c>
      <c r="B9" t="s">
        <v>57</v>
      </c>
      <c r="C9" t="s">
        <v>22</v>
      </c>
      <c r="D9" t="s">
        <v>51</v>
      </c>
      <c r="E9" t="s">
        <v>24</v>
      </c>
      <c r="F9" t="s">
        <v>41</v>
      </c>
      <c r="G9" t="s">
        <v>26</v>
      </c>
      <c r="H9" t="s">
        <v>27</v>
      </c>
      <c r="I9" t="s">
        <v>48</v>
      </c>
      <c r="J9" t="s">
        <v>52</v>
      </c>
      <c r="K9" s="31" t="s">
        <v>49</v>
      </c>
      <c r="L9" s="2" t="s">
        <v>31</v>
      </c>
      <c r="M9" s="28"/>
      <c r="N9" s="25" t="s">
        <v>146</v>
      </c>
      <c r="O9" s="35">
        <f t="shared" si="0"/>
        <v>45463</v>
      </c>
      <c r="P9" s="36">
        <v>46558</v>
      </c>
      <c r="Q9" s="35">
        <v>45791</v>
      </c>
      <c r="R9" s="36">
        <f t="shared" si="1"/>
        <v>46886</v>
      </c>
      <c r="S9" s="2" t="s">
        <v>31</v>
      </c>
      <c r="T9" s="2" t="s">
        <v>342</v>
      </c>
      <c r="U9" t="s">
        <v>33</v>
      </c>
      <c r="V9" s="16">
        <f t="shared" si="2"/>
        <v>17423423.423423421</v>
      </c>
      <c r="W9" s="16">
        <v>19340000</v>
      </c>
      <c r="X9" s="12" t="s">
        <v>58</v>
      </c>
    </row>
    <row r="10" spans="1:24" ht="14.4" x14ac:dyDescent="0.3">
      <c r="A10" t="s">
        <v>20</v>
      </c>
      <c r="B10" t="s">
        <v>59</v>
      </c>
      <c r="C10" t="s">
        <v>22</v>
      </c>
      <c r="D10" t="s">
        <v>60</v>
      </c>
      <c r="E10" t="s">
        <v>24</v>
      </c>
      <c r="F10" t="s">
        <v>37</v>
      </c>
      <c r="G10" t="s">
        <v>26</v>
      </c>
      <c r="H10" t="s">
        <v>27</v>
      </c>
      <c r="I10" t="s">
        <v>28</v>
      </c>
      <c r="J10" t="s">
        <v>52</v>
      </c>
      <c r="K10" s="31" t="s">
        <v>49</v>
      </c>
      <c r="L10" s="2" t="s">
        <v>31</v>
      </c>
      <c r="M10" s="28"/>
      <c r="N10" s="25" t="s">
        <v>143</v>
      </c>
      <c r="O10" s="35">
        <f t="shared" si="0"/>
        <v>45463</v>
      </c>
      <c r="P10" s="36">
        <v>46558</v>
      </c>
      <c r="Q10" s="35">
        <v>45791</v>
      </c>
      <c r="R10" s="36">
        <f t="shared" si="1"/>
        <v>46886</v>
      </c>
      <c r="S10" s="2" t="s">
        <v>31</v>
      </c>
      <c r="T10" s="2" t="s">
        <v>342</v>
      </c>
      <c r="U10" t="s">
        <v>33</v>
      </c>
      <c r="V10" s="16">
        <f t="shared" si="2"/>
        <v>15045045.045045044</v>
      </c>
      <c r="W10" s="16">
        <v>16700000</v>
      </c>
      <c r="X10" s="12" t="s">
        <v>61</v>
      </c>
    </row>
    <row r="11" spans="1:24" ht="14.4" x14ac:dyDescent="0.3">
      <c r="A11" t="s">
        <v>20</v>
      </c>
      <c r="B11" t="s">
        <v>62</v>
      </c>
      <c r="C11" t="s">
        <v>22</v>
      </c>
      <c r="D11" t="s">
        <v>60</v>
      </c>
      <c r="E11" t="s">
        <v>24</v>
      </c>
      <c r="F11" t="s">
        <v>41</v>
      </c>
      <c r="G11" t="s">
        <v>26</v>
      </c>
      <c r="H11" t="s">
        <v>27</v>
      </c>
      <c r="I11" t="s">
        <v>28</v>
      </c>
      <c r="J11" t="s">
        <v>52</v>
      </c>
      <c r="K11" s="31" t="s">
        <v>49</v>
      </c>
      <c r="L11" s="2" t="s">
        <v>31</v>
      </c>
      <c r="M11" s="28"/>
      <c r="N11" s="25" t="s">
        <v>146</v>
      </c>
      <c r="O11" s="35">
        <f t="shared" si="0"/>
        <v>45463</v>
      </c>
      <c r="P11" s="36">
        <v>46558</v>
      </c>
      <c r="Q11" s="35">
        <v>45791</v>
      </c>
      <c r="R11" s="36">
        <f t="shared" si="1"/>
        <v>46886</v>
      </c>
      <c r="S11" s="2" t="s">
        <v>31</v>
      </c>
      <c r="T11" s="2" t="s">
        <v>342</v>
      </c>
      <c r="U11" t="s">
        <v>33</v>
      </c>
      <c r="V11" s="16">
        <f t="shared" si="2"/>
        <v>18531531.531531531</v>
      </c>
      <c r="W11" s="16">
        <v>20570000</v>
      </c>
      <c r="X11" s="12" t="s">
        <v>63</v>
      </c>
    </row>
    <row r="12" spans="1:24" ht="14.4" x14ac:dyDescent="0.3">
      <c r="A12" t="s">
        <v>20</v>
      </c>
      <c r="B12" t="s">
        <v>64</v>
      </c>
      <c r="C12" t="s">
        <v>22</v>
      </c>
      <c r="D12" t="s">
        <v>60</v>
      </c>
      <c r="E12" t="s">
        <v>65</v>
      </c>
      <c r="F12" t="s">
        <v>41</v>
      </c>
      <c r="G12" t="s">
        <v>26</v>
      </c>
      <c r="H12" t="s">
        <v>27</v>
      </c>
      <c r="I12" t="s">
        <v>28</v>
      </c>
      <c r="J12" t="s">
        <v>52</v>
      </c>
      <c r="K12" s="31" t="s">
        <v>49</v>
      </c>
      <c r="L12" s="2" t="s">
        <v>31</v>
      </c>
      <c r="M12" s="28">
        <v>0.29809999999999998</v>
      </c>
      <c r="N12" s="25" t="s">
        <v>66</v>
      </c>
      <c r="O12" s="35">
        <f t="shared" si="0"/>
        <v>45463</v>
      </c>
      <c r="P12" s="36">
        <v>46558</v>
      </c>
      <c r="Q12" s="35">
        <v>45791</v>
      </c>
      <c r="R12" s="36">
        <f t="shared" si="1"/>
        <v>46886</v>
      </c>
      <c r="S12" s="2" t="s">
        <v>31</v>
      </c>
      <c r="T12" s="2" t="s">
        <v>342</v>
      </c>
      <c r="U12" t="s">
        <v>33</v>
      </c>
      <c r="V12" s="16">
        <f t="shared" si="2"/>
        <v>19972972.97297297</v>
      </c>
      <c r="W12" s="16">
        <v>22170000</v>
      </c>
      <c r="X12" s="12" t="s">
        <v>67</v>
      </c>
    </row>
    <row r="13" spans="1:24" ht="14.4" x14ac:dyDescent="0.3">
      <c r="A13" t="s">
        <v>20</v>
      </c>
      <c r="B13" t="s">
        <v>68</v>
      </c>
      <c r="C13" t="s">
        <v>22</v>
      </c>
      <c r="D13" t="s">
        <v>69</v>
      </c>
      <c r="E13" t="s">
        <v>70</v>
      </c>
      <c r="F13" t="s">
        <v>71</v>
      </c>
      <c r="G13" t="s">
        <v>26</v>
      </c>
      <c r="H13" t="s">
        <v>27</v>
      </c>
      <c r="I13" t="s">
        <v>48</v>
      </c>
      <c r="J13" t="s">
        <v>29</v>
      </c>
      <c r="K13" s="31" t="s">
        <v>49</v>
      </c>
      <c r="L13" s="2" t="s">
        <v>31</v>
      </c>
      <c r="M13" s="28">
        <v>0.30809999999999998</v>
      </c>
      <c r="N13" s="24" t="s">
        <v>72</v>
      </c>
      <c r="O13" s="35">
        <f t="shared" si="0"/>
        <v>45581</v>
      </c>
      <c r="P13" s="35">
        <v>46676</v>
      </c>
      <c r="Q13" s="35">
        <v>45791</v>
      </c>
      <c r="R13" s="36">
        <f t="shared" si="1"/>
        <v>46886</v>
      </c>
      <c r="S13" s="2" t="s">
        <v>31</v>
      </c>
      <c r="T13" s="2" t="s">
        <v>342</v>
      </c>
      <c r="U13" t="s">
        <v>33</v>
      </c>
      <c r="V13" s="16">
        <f t="shared" si="2"/>
        <v>9603603.6036036033</v>
      </c>
      <c r="W13" s="16">
        <v>10660000</v>
      </c>
      <c r="X13" s="12" t="s">
        <v>73</v>
      </c>
    </row>
    <row r="14" spans="1:24" ht="14.4" x14ac:dyDescent="0.3">
      <c r="A14" t="s">
        <v>20</v>
      </c>
      <c r="B14" t="s">
        <v>74</v>
      </c>
      <c r="C14" t="s">
        <v>22</v>
      </c>
      <c r="D14" t="s">
        <v>69</v>
      </c>
      <c r="E14" t="s">
        <v>70</v>
      </c>
      <c r="F14" t="s">
        <v>25</v>
      </c>
      <c r="G14" t="s">
        <v>26</v>
      </c>
      <c r="H14" t="s">
        <v>27</v>
      </c>
      <c r="I14" t="s">
        <v>48</v>
      </c>
      <c r="J14" t="s">
        <v>29</v>
      </c>
      <c r="K14" s="31" t="s">
        <v>49</v>
      </c>
      <c r="L14" s="2" t="s">
        <v>31</v>
      </c>
      <c r="M14" s="28">
        <v>0.30780000000000002</v>
      </c>
      <c r="N14" s="24" t="s">
        <v>75</v>
      </c>
      <c r="O14" s="35">
        <f t="shared" si="0"/>
        <v>45581</v>
      </c>
      <c r="P14" s="35">
        <v>46676</v>
      </c>
      <c r="Q14" s="35">
        <v>45791</v>
      </c>
      <c r="R14" s="36">
        <f t="shared" si="1"/>
        <v>46886</v>
      </c>
      <c r="S14" s="2" t="s">
        <v>31</v>
      </c>
      <c r="T14" s="2" t="s">
        <v>342</v>
      </c>
      <c r="U14" t="s">
        <v>33</v>
      </c>
      <c r="V14" s="16">
        <f t="shared" si="2"/>
        <v>10540540.540540539</v>
      </c>
      <c r="W14" s="16">
        <v>11700000</v>
      </c>
      <c r="X14" s="12" t="s">
        <v>76</v>
      </c>
    </row>
    <row r="15" spans="1:24" ht="14.4" x14ac:dyDescent="0.3">
      <c r="A15" t="s">
        <v>20</v>
      </c>
      <c r="B15" t="s">
        <v>77</v>
      </c>
      <c r="C15" t="s">
        <v>22</v>
      </c>
      <c r="D15" t="s">
        <v>69</v>
      </c>
      <c r="E15" t="s">
        <v>24</v>
      </c>
      <c r="F15" t="s">
        <v>25</v>
      </c>
      <c r="G15" t="s">
        <v>26</v>
      </c>
      <c r="H15" t="s">
        <v>27</v>
      </c>
      <c r="I15" t="s">
        <v>48</v>
      </c>
      <c r="J15" t="s">
        <v>29</v>
      </c>
      <c r="K15" s="31" t="s">
        <v>49</v>
      </c>
      <c r="L15" s="2" t="s">
        <v>31</v>
      </c>
      <c r="M15" s="28"/>
      <c r="N15" s="25" t="s">
        <v>348</v>
      </c>
      <c r="O15" s="35">
        <f t="shared" si="0"/>
        <v>45646</v>
      </c>
      <c r="P15" s="36">
        <v>46741</v>
      </c>
      <c r="Q15" s="35">
        <v>45791</v>
      </c>
      <c r="R15" s="36">
        <f t="shared" si="1"/>
        <v>46886</v>
      </c>
      <c r="S15" s="2" t="s">
        <v>31</v>
      </c>
      <c r="T15" s="2" t="s">
        <v>342</v>
      </c>
      <c r="U15" t="s">
        <v>33</v>
      </c>
      <c r="V15" s="16">
        <f t="shared" si="2"/>
        <v>11558558.558558557</v>
      </c>
      <c r="W15" s="16">
        <v>12830000</v>
      </c>
      <c r="X15" s="12" t="s">
        <v>78</v>
      </c>
    </row>
    <row r="16" spans="1:24" ht="14.4" x14ac:dyDescent="0.3">
      <c r="A16" t="s">
        <v>20</v>
      </c>
      <c r="B16" t="s">
        <v>79</v>
      </c>
      <c r="C16" t="s">
        <v>22</v>
      </c>
      <c r="D16" t="s">
        <v>69</v>
      </c>
      <c r="E16" t="s">
        <v>24</v>
      </c>
      <c r="F16" t="s">
        <v>37</v>
      </c>
      <c r="G16" t="s">
        <v>26</v>
      </c>
      <c r="H16" t="s">
        <v>27</v>
      </c>
      <c r="I16" t="s">
        <v>48</v>
      </c>
      <c r="J16" t="s">
        <v>29</v>
      </c>
      <c r="K16" s="31" t="s">
        <v>49</v>
      </c>
      <c r="L16" s="2" t="s">
        <v>31</v>
      </c>
      <c r="M16" s="28">
        <v>0.30559999999999998</v>
      </c>
      <c r="N16" s="25" t="s">
        <v>80</v>
      </c>
      <c r="O16" s="35">
        <f t="shared" si="0"/>
        <v>45463</v>
      </c>
      <c r="P16" s="36">
        <v>46558</v>
      </c>
      <c r="Q16" s="35">
        <v>45791</v>
      </c>
      <c r="R16" s="36">
        <f t="shared" si="1"/>
        <v>46886</v>
      </c>
      <c r="S16" s="2" t="s">
        <v>31</v>
      </c>
      <c r="T16" s="2" t="s">
        <v>342</v>
      </c>
      <c r="U16" t="s">
        <v>33</v>
      </c>
      <c r="V16" s="16">
        <f t="shared" si="2"/>
        <v>13261261.26126126</v>
      </c>
      <c r="W16" s="16">
        <v>14720000</v>
      </c>
      <c r="X16" s="12" t="s">
        <v>81</v>
      </c>
    </row>
    <row r="17" spans="1:24" ht="14.4" x14ac:dyDescent="0.3">
      <c r="A17" t="s">
        <v>20</v>
      </c>
      <c r="B17" t="s">
        <v>82</v>
      </c>
      <c r="C17" t="s">
        <v>22</v>
      </c>
      <c r="D17" t="s">
        <v>83</v>
      </c>
      <c r="E17" t="s">
        <v>24</v>
      </c>
      <c r="F17" t="s">
        <v>84</v>
      </c>
      <c r="G17" t="s">
        <v>26</v>
      </c>
      <c r="H17" t="s">
        <v>27</v>
      </c>
      <c r="I17" t="s">
        <v>85</v>
      </c>
      <c r="J17" t="s">
        <v>29</v>
      </c>
      <c r="K17" s="31" t="s">
        <v>49</v>
      </c>
      <c r="L17" s="2" t="s">
        <v>31</v>
      </c>
      <c r="N17" s="25" t="s">
        <v>348</v>
      </c>
      <c r="O17" s="35">
        <f t="shared" si="0"/>
        <v>45646</v>
      </c>
      <c r="P17" s="36">
        <v>46741</v>
      </c>
      <c r="Q17" s="35">
        <v>45791</v>
      </c>
      <c r="R17" s="36">
        <f t="shared" si="1"/>
        <v>46886</v>
      </c>
      <c r="S17" s="2" t="s">
        <v>31</v>
      </c>
      <c r="T17" s="2" t="s">
        <v>342</v>
      </c>
      <c r="V17" s="16">
        <f t="shared" si="2"/>
        <v>13612612.612612611</v>
      </c>
      <c r="W17" s="16">
        <v>15110000</v>
      </c>
      <c r="X17" t="s">
        <v>35</v>
      </c>
    </row>
    <row r="18" spans="1:24" ht="14.4" x14ac:dyDescent="0.3">
      <c r="A18" t="s">
        <v>20</v>
      </c>
      <c r="B18" t="s">
        <v>86</v>
      </c>
      <c r="C18" t="s">
        <v>22</v>
      </c>
      <c r="D18" t="s">
        <v>87</v>
      </c>
      <c r="E18" t="s">
        <v>24</v>
      </c>
      <c r="F18" t="s">
        <v>25</v>
      </c>
      <c r="G18" t="s">
        <v>26</v>
      </c>
      <c r="H18" t="s">
        <v>27</v>
      </c>
      <c r="I18" t="s">
        <v>28</v>
      </c>
      <c r="J18" t="s">
        <v>29</v>
      </c>
      <c r="K18" s="31" t="s">
        <v>49</v>
      </c>
      <c r="L18" s="2" t="s">
        <v>31</v>
      </c>
      <c r="N18" s="25" t="s">
        <v>348</v>
      </c>
      <c r="O18" s="35">
        <f t="shared" si="0"/>
        <v>45646</v>
      </c>
      <c r="P18" s="36">
        <v>46741</v>
      </c>
      <c r="Q18" s="35">
        <v>45791</v>
      </c>
      <c r="R18" s="36">
        <f t="shared" si="1"/>
        <v>46886</v>
      </c>
      <c r="S18" s="2" t="s">
        <v>31</v>
      </c>
      <c r="T18" s="2" t="s">
        <v>342</v>
      </c>
      <c r="U18" t="s">
        <v>33</v>
      </c>
      <c r="V18" s="16">
        <f t="shared" si="2"/>
        <v>14792792.792792792</v>
      </c>
      <c r="W18" s="16">
        <v>16420000</v>
      </c>
      <c r="X18" s="12" t="s">
        <v>88</v>
      </c>
    </row>
    <row r="19" spans="1:24" ht="14.4" x14ac:dyDescent="0.3">
      <c r="A19" t="s">
        <v>20</v>
      </c>
      <c r="B19" s="32" t="s">
        <v>89</v>
      </c>
      <c r="C19" t="s">
        <v>22</v>
      </c>
      <c r="D19" t="s">
        <v>87</v>
      </c>
      <c r="E19" t="s">
        <v>24</v>
      </c>
      <c r="F19" t="s">
        <v>37</v>
      </c>
      <c r="G19" t="s">
        <v>26</v>
      </c>
      <c r="H19" t="s">
        <v>27</v>
      </c>
      <c r="I19" t="s">
        <v>28</v>
      </c>
      <c r="J19" t="s">
        <v>29</v>
      </c>
      <c r="K19" s="31" t="s">
        <v>49</v>
      </c>
      <c r="L19" s="2" t="s">
        <v>31</v>
      </c>
      <c r="M19" s="29">
        <v>0.30559999999999998</v>
      </c>
      <c r="N19" s="25" t="s">
        <v>80</v>
      </c>
      <c r="O19" s="35">
        <f t="shared" si="0"/>
        <v>45463</v>
      </c>
      <c r="P19" s="36">
        <v>46558</v>
      </c>
      <c r="Q19" s="35">
        <v>45791</v>
      </c>
      <c r="R19" s="36">
        <f t="shared" si="1"/>
        <v>46886</v>
      </c>
      <c r="S19" s="2" t="s">
        <v>31</v>
      </c>
      <c r="T19" s="2" t="s">
        <v>342</v>
      </c>
      <c r="U19" t="s">
        <v>33</v>
      </c>
      <c r="V19" s="16">
        <f t="shared" si="2"/>
        <v>16063063.063063061</v>
      </c>
      <c r="W19" s="16">
        <v>17830000</v>
      </c>
      <c r="X19" s="12" t="s">
        <v>90</v>
      </c>
    </row>
    <row r="20" spans="1:24" ht="14.4" x14ac:dyDescent="0.3">
      <c r="A20" t="s">
        <v>20</v>
      </c>
      <c r="B20" s="32" t="s">
        <v>91</v>
      </c>
      <c r="C20" t="s">
        <v>22</v>
      </c>
      <c r="D20" t="s">
        <v>87</v>
      </c>
      <c r="E20" t="s">
        <v>24</v>
      </c>
      <c r="F20" t="s">
        <v>41</v>
      </c>
      <c r="G20" t="s">
        <v>26</v>
      </c>
      <c r="H20" t="s">
        <v>27</v>
      </c>
      <c r="I20" t="s">
        <v>28</v>
      </c>
      <c r="J20" t="s">
        <v>29</v>
      </c>
      <c r="K20" s="31" t="s">
        <v>49</v>
      </c>
      <c r="L20" s="2" t="s">
        <v>31</v>
      </c>
      <c r="M20" s="29">
        <v>0.30470000000000003</v>
      </c>
      <c r="N20" s="25" t="s">
        <v>92</v>
      </c>
      <c r="O20" s="35">
        <f t="shared" si="0"/>
        <v>45646</v>
      </c>
      <c r="P20" s="36">
        <v>46741</v>
      </c>
      <c r="Q20" s="35">
        <v>45791</v>
      </c>
      <c r="R20" s="36">
        <f t="shared" si="1"/>
        <v>46886</v>
      </c>
      <c r="S20" s="2" t="s">
        <v>31</v>
      </c>
      <c r="T20" s="2" t="s">
        <v>342</v>
      </c>
      <c r="U20" t="s">
        <v>33</v>
      </c>
      <c r="V20" s="16">
        <f t="shared" si="2"/>
        <v>18954954.954954952</v>
      </c>
      <c r="W20" s="16">
        <v>21040000</v>
      </c>
      <c r="X20" s="12" t="s">
        <v>93</v>
      </c>
    </row>
    <row r="21" spans="1:24" ht="14.4" x14ac:dyDescent="0.3">
      <c r="A21" t="s">
        <v>20</v>
      </c>
      <c r="B21" s="32" t="s">
        <v>94</v>
      </c>
      <c r="C21" t="s">
        <v>22</v>
      </c>
      <c r="D21" t="s">
        <v>95</v>
      </c>
      <c r="E21" t="s">
        <v>24</v>
      </c>
      <c r="F21" t="s">
        <v>25</v>
      </c>
      <c r="G21" t="s">
        <v>26</v>
      </c>
      <c r="H21" t="s">
        <v>27</v>
      </c>
      <c r="I21" t="s">
        <v>48</v>
      </c>
      <c r="J21" t="s">
        <v>29</v>
      </c>
      <c r="K21" s="31" t="s">
        <v>49</v>
      </c>
      <c r="L21" s="2" t="s">
        <v>31</v>
      </c>
      <c r="N21" s="25" t="s">
        <v>104</v>
      </c>
      <c r="O21" s="35">
        <f t="shared" si="0"/>
        <v>45463</v>
      </c>
      <c r="P21" s="36">
        <v>46558</v>
      </c>
      <c r="Q21" s="35">
        <v>45791</v>
      </c>
      <c r="R21" s="36">
        <f t="shared" si="1"/>
        <v>46886</v>
      </c>
      <c r="S21" s="2" t="s">
        <v>31</v>
      </c>
      <c r="T21" s="2" t="s">
        <v>342</v>
      </c>
      <c r="V21" s="16">
        <f t="shared" si="2"/>
        <v>9000000</v>
      </c>
      <c r="W21" s="16">
        <v>9990000</v>
      </c>
      <c r="X21" t="s">
        <v>35</v>
      </c>
    </row>
    <row r="22" spans="1:24" ht="14.4" x14ac:dyDescent="0.3">
      <c r="A22" t="s">
        <v>20</v>
      </c>
      <c r="B22" s="32" t="s">
        <v>96</v>
      </c>
      <c r="C22" t="s">
        <v>22</v>
      </c>
      <c r="D22" t="s">
        <v>97</v>
      </c>
      <c r="E22" t="s">
        <v>24</v>
      </c>
      <c r="F22" t="s">
        <v>84</v>
      </c>
      <c r="G22" t="s">
        <v>26</v>
      </c>
      <c r="H22" t="s">
        <v>27</v>
      </c>
      <c r="I22" t="s">
        <v>28</v>
      </c>
      <c r="J22" t="s">
        <v>29</v>
      </c>
      <c r="K22" s="31" t="s">
        <v>49</v>
      </c>
      <c r="L22" s="2" t="s">
        <v>31</v>
      </c>
      <c r="N22" s="25" t="s">
        <v>104</v>
      </c>
      <c r="O22" s="35">
        <f t="shared" si="0"/>
        <v>45463</v>
      </c>
      <c r="P22" s="36">
        <v>46558</v>
      </c>
      <c r="Q22" s="35">
        <v>45791</v>
      </c>
      <c r="R22" s="36">
        <f t="shared" si="1"/>
        <v>46886</v>
      </c>
      <c r="S22" s="2" t="s">
        <v>31</v>
      </c>
      <c r="T22" s="2" t="s">
        <v>342</v>
      </c>
      <c r="V22" s="16">
        <f t="shared" si="2"/>
        <v>7162162.1621621614</v>
      </c>
      <c r="W22" s="16">
        <v>7950000</v>
      </c>
      <c r="X22" t="s">
        <v>35</v>
      </c>
    </row>
    <row r="23" spans="1:24" ht="14.4" x14ac:dyDescent="0.3">
      <c r="A23" t="s">
        <v>20</v>
      </c>
      <c r="B23" s="32" t="s">
        <v>98</v>
      </c>
      <c r="C23" t="s">
        <v>22</v>
      </c>
      <c r="D23" t="s">
        <v>97</v>
      </c>
      <c r="E23" t="s">
        <v>24</v>
      </c>
      <c r="F23" t="s">
        <v>84</v>
      </c>
      <c r="G23" t="s">
        <v>26</v>
      </c>
      <c r="H23" t="s">
        <v>27</v>
      </c>
      <c r="I23" t="s">
        <v>28</v>
      </c>
      <c r="J23" t="s">
        <v>29</v>
      </c>
      <c r="K23" s="31" t="s">
        <v>49</v>
      </c>
      <c r="L23" s="2" t="s">
        <v>31</v>
      </c>
      <c r="N23" s="25" t="s">
        <v>104</v>
      </c>
      <c r="O23" s="35">
        <f t="shared" si="0"/>
        <v>45463</v>
      </c>
      <c r="P23" s="36">
        <v>46558</v>
      </c>
      <c r="Q23" s="35">
        <v>45791</v>
      </c>
      <c r="R23" s="36">
        <f t="shared" si="1"/>
        <v>46886</v>
      </c>
      <c r="S23" s="2" t="s">
        <v>31</v>
      </c>
      <c r="T23" s="2" t="s">
        <v>342</v>
      </c>
      <c r="U23" t="s">
        <v>33</v>
      </c>
      <c r="V23" s="16">
        <f t="shared" si="2"/>
        <v>15720720.72072072</v>
      </c>
      <c r="W23" s="16">
        <v>17450000</v>
      </c>
      <c r="X23" s="12" t="s">
        <v>99</v>
      </c>
    </row>
    <row r="24" spans="1:24" ht="14.4" x14ac:dyDescent="0.3">
      <c r="A24" t="s">
        <v>20</v>
      </c>
      <c r="B24" s="32" t="s">
        <v>100</v>
      </c>
      <c r="C24" t="s">
        <v>22</v>
      </c>
      <c r="D24" t="s">
        <v>97</v>
      </c>
      <c r="E24" t="s">
        <v>24</v>
      </c>
      <c r="F24" t="s">
        <v>37</v>
      </c>
      <c r="G24" t="s">
        <v>26</v>
      </c>
      <c r="H24" t="s">
        <v>27</v>
      </c>
      <c r="I24" t="s">
        <v>28</v>
      </c>
      <c r="J24" t="s">
        <v>29</v>
      </c>
      <c r="K24" s="31" t="s">
        <v>49</v>
      </c>
      <c r="L24" s="2" t="s">
        <v>31</v>
      </c>
      <c r="N24" s="25" t="s">
        <v>55</v>
      </c>
      <c r="O24" s="35">
        <f t="shared" si="0"/>
        <v>45463</v>
      </c>
      <c r="P24" s="36">
        <v>46558</v>
      </c>
      <c r="Q24" s="35">
        <v>45791</v>
      </c>
      <c r="R24" s="36">
        <f t="shared" si="1"/>
        <v>46886</v>
      </c>
      <c r="S24" s="2" t="s">
        <v>31</v>
      </c>
      <c r="T24" s="2" t="s">
        <v>342</v>
      </c>
      <c r="V24" s="16">
        <f t="shared" si="2"/>
        <v>16981981.981981982</v>
      </c>
      <c r="W24" s="16">
        <v>18850000</v>
      </c>
      <c r="X24" t="s">
        <v>35</v>
      </c>
    </row>
    <row r="25" spans="1:24" ht="14.4" x14ac:dyDescent="0.3">
      <c r="A25" t="s">
        <v>20</v>
      </c>
      <c r="B25" s="32" t="s">
        <v>101</v>
      </c>
      <c r="C25" t="s">
        <v>22</v>
      </c>
      <c r="D25" t="s">
        <v>97</v>
      </c>
      <c r="E25" t="s">
        <v>24</v>
      </c>
      <c r="F25" t="s">
        <v>41</v>
      </c>
      <c r="G25" t="s">
        <v>26</v>
      </c>
      <c r="H25" t="s">
        <v>27</v>
      </c>
      <c r="I25" t="s">
        <v>28</v>
      </c>
      <c r="J25" t="s">
        <v>29</v>
      </c>
      <c r="K25" s="31" t="s">
        <v>49</v>
      </c>
      <c r="L25" s="2" t="s">
        <v>31</v>
      </c>
      <c r="N25" s="25" t="s">
        <v>109</v>
      </c>
      <c r="O25" s="35">
        <f t="shared" si="0"/>
        <v>45463</v>
      </c>
      <c r="P25" s="36">
        <v>46558</v>
      </c>
      <c r="Q25" s="35">
        <v>45791</v>
      </c>
      <c r="R25" s="36">
        <f t="shared" si="1"/>
        <v>46886</v>
      </c>
      <c r="S25" s="2" t="s">
        <v>31</v>
      </c>
      <c r="T25" s="2" t="s">
        <v>342</v>
      </c>
      <c r="V25" s="16">
        <f t="shared" si="2"/>
        <v>19801801.801801801</v>
      </c>
      <c r="W25" s="16">
        <v>21980000</v>
      </c>
      <c r="X25" t="s">
        <v>35</v>
      </c>
    </row>
    <row r="26" spans="1:24" ht="14.4" x14ac:dyDescent="0.3">
      <c r="A26" t="s">
        <v>20</v>
      </c>
      <c r="B26" s="32" t="s">
        <v>102</v>
      </c>
      <c r="C26" t="s">
        <v>22</v>
      </c>
      <c r="D26" t="s">
        <v>103</v>
      </c>
      <c r="E26" t="s">
        <v>24</v>
      </c>
      <c r="F26" t="s">
        <v>25</v>
      </c>
      <c r="G26" t="s">
        <v>26</v>
      </c>
      <c r="H26" t="s">
        <v>27</v>
      </c>
      <c r="I26" t="s">
        <v>28</v>
      </c>
      <c r="J26" t="s">
        <v>29</v>
      </c>
      <c r="K26" s="31" t="s">
        <v>49</v>
      </c>
      <c r="L26" s="2" t="s">
        <v>31</v>
      </c>
      <c r="M26" s="29">
        <v>0.30099999999999999</v>
      </c>
      <c r="N26" s="25" t="s">
        <v>104</v>
      </c>
      <c r="O26" s="35">
        <f t="shared" si="0"/>
        <v>45463</v>
      </c>
      <c r="P26" s="36">
        <v>46558</v>
      </c>
      <c r="Q26" s="35">
        <v>45791</v>
      </c>
      <c r="R26" s="36">
        <f t="shared" si="1"/>
        <v>46886</v>
      </c>
      <c r="S26" s="2" t="s">
        <v>31</v>
      </c>
      <c r="T26" s="2" t="s">
        <v>342</v>
      </c>
      <c r="U26" t="s">
        <v>33</v>
      </c>
      <c r="V26" s="16">
        <f t="shared" si="2"/>
        <v>16738738.738738738</v>
      </c>
      <c r="W26" s="16">
        <v>18580000</v>
      </c>
      <c r="X26" s="12" t="s">
        <v>105</v>
      </c>
    </row>
    <row r="27" spans="1:24" ht="14.4" x14ac:dyDescent="0.3">
      <c r="A27" t="s">
        <v>20</v>
      </c>
      <c r="B27" s="32" t="s">
        <v>106</v>
      </c>
      <c r="C27" t="s">
        <v>22</v>
      </c>
      <c r="D27" t="s">
        <v>103</v>
      </c>
      <c r="E27" t="s">
        <v>24</v>
      </c>
      <c r="F27" t="s">
        <v>37</v>
      </c>
      <c r="G27" t="s">
        <v>26</v>
      </c>
      <c r="H27" t="s">
        <v>27</v>
      </c>
      <c r="I27" t="s">
        <v>28</v>
      </c>
      <c r="J27" t="s">
        <v>29</v>
      </c>
      <c r="K27" s="31" t="s">
        <v>49</v>
      </c>
      <c r="L27" s="2" t="s">
        <v>31</v>
      </c>
      <c r="M27" s="28">
        <v>0.30059999999999998</v>
      </c>
      <c r="N27" s="25" t="s">
        <v>55</v>
      </c>
      <c r="O27" s="35">
        <f t="shared" si="0"/>
        <v>45463</v>
      </c>
      <c r="P27" s="36">
        <v>46558</v>
      </c>
      <c r="Q27" s="35">
        <v>45791</v>
      </c>
      <c r="R27" s="36">
        <f t="shared" si="1"/>
        <v>46886</v>
      </c>
      <c r="S27" s="2" t="s">
        <v>31</v>
      </c>
      <c r="T27" s="2" t="s">
        <v>342</v>
      </c>
      <c r="U27" t="s">
        <v>33</v>
      </c>
      <c r="V27" s="16">
        <f t="shared" si="2"/>
        <v>19207207.207207207</v>
      </c>
      <c r="W27" s="16">
        <v>21320000</v>
      </c>
      <c r="X27" s="12" t="s">
        <v>107</v>
      </c>
    </row>
    <row r="28" spans="1:24" ht="14.4" x14ac:dyDescent="0.3">
      <c r="A28" t="s">
        <v>20</v>
      </c>
      <c r="B28" t="s">
        <v>108</v>
      </c>
      <c r="C28" t="s">
        <v>22</v>
      </c>
      <c r="D28" t="s">
        <v>103</v>
      </c>
      <c r="E28" t="s">
        <v>24</v>
      </c>
      <c r="F28" t="s">
        <v>41</v>
      </c>
      <c r="G28" t="s">
        <v>26</v>
      </c>
      <c r="H28" t="s">
        <v>27</v>
      </c>
      <c r="I28" t="s">
        <v>28</v>
      </c>
      <c r="J28" t="s">
        <v>29</v>
      </c>
      <c r="K28" s="31" t="s">
        <v>49</v>
      </c>
      <c r="L28" s="2" t="s">
        <v>31</v>
      </c>
      <c r="M28" s="29">
        <v>0.2994</v>
      </c>
      <c r="N28" s="25" t="s">
        <v>109</v>
      </c>
      <c r="O28" s="35">
        <f t="shared" si="0"/>
        <v>45463</v>
      </c>
      <c r="P28" s="36">
        <v>46558</v>
      </c>
      <c r="Q28" s="35">
        <v>45791</v>
      </c>
      <c r="R28" s="36">
        <f t="shared" si="1"/>
        <v>46886</v>
      </c>
      <c r="S28" s="2" t="s">
        <v>31</v>
      </c>
      <c r="T28" s="2" t="s">
        <v>342</v>
      </c>
      <c r="U28" t="s">
        <v>33</v>
      </c>
      <c r="V28" s="16">
        <f t="shared" si="2"/>
        <v>22270270.270270269</v>
      </c>
      <c r="W28" s="16">
        <v>24720000</v>
      </c>
      <c r="X28" s="12" t="s">
        <v>110</v>
      </c>
    </row>
    <row r="29" spans="1:24" ht="14.4" x14ac:dyDescent="0.3">
      <c r="A29" t="s">
        <v>20</v>
      </c>
      <c r="B29" t="s">
        <v>111</v>
      </c>
      <c r="C29" t="s">
        <v>22</v>
      </c>
      <c r="D29" t="s">
        <v>103</v>
      </c>
      <c r="E29" t="s">
        <v>65</v>
      </c>
      <c r="F29" t="s">
        <v>41</v>
      </c>
      <c r="G29" t="s">
        <v>26</v>
      </c>
      <c r="H29" t="s">
        <v>27</v>
      </c>
      <c r="I29" t="s">
        <v>28</v>
      </c>
      <c r="J29" t="s">
        <v>29</v>
      </c>
      <c r="K29" s="31" t="s">
        <v>49</v>
      </c>
      <c r="L29" s="2" t="s">
        <v>31</v>
      </c>
      <c r="M29" s="29">
        <v>0.30020000000000002</v>
      </c>
      <c r="N29" s="25" t="s">
        <v>112</v>
      </c>
      <c r="O29" s="35">
        <f t="shared" si="0"/>
        <v>45463</v>
      </c>
      <c r="P29" s="36">
        <v>46558</v>
      </c>
      <c r="Q29" s="35">
        <v>45791</v>
      </c>
      <c r="R29" s="36">
        <f t="shared" si="1"/>
        <v>46886</v>
      </c>
      <c r="S29" s="2" t="s">
        <v>31</v>
      </c>
      <c r="T29" s="2" t="s">
        <v>342</v>
      </c>
      <c r="U29" t="s">
        <v>33</v>
      </c>
      <c r="V29" s="16">
        <f t="shared" si="2"/>
        <v>23882882.882882882</v>
      </c>
      <c r="W29" s="16">
        <v>26510000</v>
      </c>
      <c r="X29" s="12" t="s">
        <v>113</v>
      </c>
    </row>
    <row r="30" spans="1:24" ht="14.4" x14ac:dyDescent="0.3">
      <c r="A30" t="s">
        <v>20</v>
      </c>
      <c r="B30" t="s">
        <v>114</v>
      </c>
      <c r="C30" t="s">
        <v>22</v>
      </c>
      <c r="D30" t="s">
        <v>115</v>
      </c>
      <c r="E30" t="s">
        <v>24</v>
      </c>
      <c r="F30" t="s">
        <v>37</v>
      </c>
      <c r="G30" t="s">
        <v>26</v>
      </c>
      <c r="H30" t="s">
        <v>27</v>
      </c>
      <c r="I30" t="s">
        <v>48</v>
      </c>
      <c r="J30" t="s">
        <v>29</v>
      </c>
      <c r="K30" s="31" t="s">
        <v>49</v>
      </c>
      <c r="L30" s="2" t="s">
        <v>31</v>
      </c>
      <c r="N30" s="25" t="s">
        <v>143</v>
      </c>
      <c r="O30" s="35">
        <f t="shared" si="0"/>
        <v>45463</v>
      </c>
      <c r="P30" s="36">
        <v>46558</v>
      </c>
      <c r="Q30" s="35">
        <v>45791</v>
      </c>
      <c r="R30" s="36">
        <f t="shared" si="1"/>
        <v>46886</v>
      </c>
      <c r="S30" s="2" t="s">
        <v>31</v>
      </c>
      <c r="T30" s="2" t="s">
        <v>342</v>
      </c>
      <c r="U30" t="s">
        <v>33</v>
      </c>
      <c r="V30" s="16">
        <f t="shared" si="2"/>
        <v>15891891.891891891</v>
      </c>
      <c r="W30" s="16">
        <v>17640000</v>
      </c>
      <c r="X30" s="12" t="s">
        <v>116</v>
      </c>
    </row>
    <row r="31" spans="1:24" ht="14.4" x14ac:dyDescent="0.3">
      <c r="A31" t="s">
        <v>20</v>
      </c>
      <c r="B31" t="s">
        <v>117</v>
      </c>
      <c r="C31" t="s">
        <v>22</v>
      </c>
      <c r="D31" t="s">
        <v>115</v>
      </c>
      <c r="E31" t="s">
        <v>24</v>
      </c>
      <c r="F31" t="s">
        <v>41</v>
      </c>
      <c r="G31" t="s">
        <v>26</v>
      </c>
      <c r="H31" t="s">
        <v>27</v>
      </c>
      <c r="I31" t="s">
        <v>48</v>
      </c>
      <c r="J31" t="s">
        <v>29</v>
      </c>
      <c r="K31" s="31" t="s">
        <v>49</v>
      </c>
      <c r="L31" s="2" t="s">
        <v>31</v>
      </c>
      <c r="N31" s="25" t="s">
        <v>146</v>
      </c>
      <c r="O31" s="35">
        <f t="shared" si="0"/>
        <v>45463</v>
      </c>
      <c r="P31" s="36">
        <v>46558</v>
      </c>
      <c r="Q31" s="35">
        <v>45791</v>
      </c>
      <c r="R31" s="36">
        <f t="shared" si="1"/>
        <v>46886</v>
      </c>
      <c r="S31" s="2" t="s">
        <v>31</v>
      </c>
      <c r="T31" s="2" t="s">
        <v>342</v>
      </c>
      <c r="U31" t="s">
        <v>33</v>
      </c>
      <c r="V31" s="16">
        <f t="shared" si="2"/>
        <v>16405405.405405404</v>
      </c>
      <c r="W31" s="16">
        <v>18210000</v>
      </c>
      <c r="X31" s="12" t="s">
        <v>118</v>
      </c>
    </row>
    <row r="32" spans="1:24" ht="14.4" x14ac:dyDescent="0.3">
      <c r="A32" t="s">
        <v>20</v>
      </c>
      <c r="B32" t="s">
        <v>119</v>
      </c>
      <c r="C32" t="s">
        <v>22</v>
      </c>
      <c r="D32" t="s">
        <v>115</v>
      </c>
      <c r="E32" t="s">
        <v>65</v>
      </c>
      <c r="F32" t="s">
        <v>37</v>
      </c>
      <c r="G32" t="s">
        <v>26</v>
      </c>
      <c r="H32" t="s">
        <v>27</v>
      </c>
      <c r="I32" t="s">
        <v>48</v>
      </c>
      <c r="J32" t="s">
        <v>29</v>
      </c>
      <c r="K32" s="31" t="s">
        <v>49</v>
      </c>
      <c r="L32" s="2" t="s">
        <v>31</v>
      </c>
      <c r="M32" s="29">
        <v>0.2974</v>
      </c>
      <c r="N32" s="25" t="s">
        <v>120</v>
      </c>
      <c r="O32" s="35">
        <f t="shared" si="0"/>
        <v>45646</v>
      </c>
      <c r="P32" s="36">
        <v>46741</v>
      </c>
      <c r="Q32" s="35">
        <v>45791</v>
      </c>
      <c r="R32" s="36">
        <f t="shared" si="1"/>
        <v>46886</v>
      </c>
      <c r="S32" s="2" t="s">
        <v>31</v>
      </c>
      <c r="T32" s="2" t="s">
        <v>342</v>
      </c>
      <c r="U32" t="s">
        <v>33</v>
      </c>
      <c r="V32" s="16">
        <f t="shared" si="2"/>
        <v>17675675.675675675</v>
      </c>
      <c r="W32" s="16">
        <v>19620000</v>
      </c>
      <c r="X32" s="12" t="s">
        <v>121</v>
      </c>
    </row>
    <row r="33" spans="1:24" ht="14.4" x14ac:dyDescent="0.3">
      <c r="A33" t="s">
        <v>20</v>
      </c>
      <c r="B33" t="s">
        <v>122</v>
      </c>
      <c r="C33" t="s">
        <v>22</v>
      </c>
      <c r="D33" t="s">
        <v>115</v>
      </c>
      <c r="E33" t="s">
        <v>65</v>
      </c>
      <c r="F33" t="s">
        <v>41</v>
      </c>
      <c r="G33" t="s">
        <v>26</v>
      </c>
      <c r="H33" t="s">
        <v>27</v>
      </c>
      <c r="I33" t="s">
        <v>48</v>
      </c>
      <c r="J33" t="s">
        <v>29</v>
      </c>
      <c r="K33" s="31" t="s">
        <v>49</v>
      </c>
      <c r="L33" s="2" t="s">
        <v>31</v>
      </c>
      <c r="M33" s="28">
        <v>0.29809999999999998</v>
      </c>
      <c r="N33" s="25" t="s">
        <v>66</v>
      </c>
      <c r="O33" s="35">
        <f t="shared" si="0"/>
        <v>45463</v>
      </c>
      <c r="P33" s="36">
        <v>46558</v>
      </c>
      <c r="Q33" s="35">
        <v>45791</v>
      </c>
      <c r="R33" s="36">
        <f t="shared" si="1"/>
        <v>46886</v>
      </c>
      <c r="S33" s="2" t="s">
        <v>31</v>
      </c>
      <c r="T33" s="2" t="s">
        <v>342</v>
      </c>
      <c r="U33" t="s">
        <v>33</v>
      </c>
      <c r="V33" s="16">
        <f t="shared" si="2"/>
        <v>18189189.189189188</v>
      </c>
      <c r="W33" s="16">
        <v>20190000</v>
      </c>
      <c r="X33" s="12" t="s">
        <v>123</v>
      </c>
    </row>
    <row r="34" spans="1:24" ht="14.4" x14ac:dyDescent="0.3">
      <c r="A34" t="s">
        <v>20</v>
      </c>
      <c r="B34" t="s">
        <v>124</v>
      </c>
      <c r="C34" t="s">
        <v>22</v>
      </c>
      <c r="D34" t="s">
        <v>115</v>
      </c>
      <c r="E34" t="s">
        <v>65</v>
      </c>
      <c r="F34" t="s">
        <v>125</v>
      </c>
      <c r="G34" t="s">
        <v>26</v>
      </c>
      <c r="H34" t="s">
        <v>27</v>
      </c>
      <c r="I34" t="s">
        <v>48</v>
      </c>
      <c r="J34" t="s">
        <v>29</v>
      </c>
      <c r="K34" s="31" t="s">
        <v>49</v>
      </c>
      <c r="L34" s="2" t="s">
        <v>31</v>
      </c>
      <c r="N34" s="25" t="s">
        <v>347</v>
      </c>
      <c r="O34" s="35">
        <f t="shared" si="0"/>
        <v>45463</v>
      </c>
      <c r="P34" s="36">
        <v>46558</v>
      </c>
      <c r="Q34" s="35">
        <v>45791</v>
      </c>
      <c r="R34" s="36">
        <f t="shared" si="1"/>
        <v>46886</v>
      </c>
      <c r="S34" s="2" t="s">
        <v>31</v>
      </c>
      <c r="T34" s="2" t="s">
        <v>342</v>
      </c>
      <c r="U34" t="s">
        <v>33</v>
      </c>
      <c r="V34" s="16">
        <f t="shared" si="2"/>
        <v>21081081.081081077</v>
      </c>
      <c r="W34" s="16">
        <v>23400000</v>
      </c>
      <c r="X34" s="12" t="s">
        <v>126</v>
      </c>
    </row>
    <row r="35" spans="1:24" ht="14.4" x14ac:dyDescent="0.3">
      <c r="A35" t="s">
        <v>20</v>
      </c>
      <c r="B35" t="s">
        <v>127</v>
      </c>
      <c r="C35" t="s">
        <v>22</v>
      </c>
      <c r="D35" t="s">
        <v>128</v>
      </c>
      <c r="E35" t="s">
        <v>24</v>
      </c>
      <c r="F35" t="s">
        <v>37</v>
      </c>
      <c r="G35" t="s">
        <v>26</v>
      </c>
      <c r="H35" t="s">
        <v>27</v>
      </c>
      <c r="I35" t="s">
        <v>85</v>
      </c>
      <c r="J35" t="s">
        <v>29</v>
      </c>
      <c r="K35" s="31" t="s">
        <v>49</v>
      </c>
      <c r="L35" s="2" t="s">
        <v>31</v>
      </c>
      <c r="N35" s="25" t="s">
        <v>143</v>
      </c>
      <c r="O35" s="35">
        <f t="shared" si="0"/>
        <v>45463</v>
      </c>
      <c r="P35" s="36">
        <v>46558</v>
      </c>
      <c r="Q35" s="35">
        <v>45791</v>
      </c>
      <c r="R35" s="36">
        <f t="shared" si="1"/>
        <v>46886</v>
      </c>
      <c r="S35" s="2" t="s">
        <v>31</v>
      </c>
      <c r="T35" s="2" t="s">
        <v>342</v>
      </c>
      <c r="V35" s="16">
        <f t="shared" si="2"/>
        <v>16567567.567567566</v>
      </c>
      <c r="W35" s="16">
        <v>18390000</v>
      </c>
      <c r="X35" t="s">
        <v>35</v>
      </c>
    </row>
    <row r="36" spans="1:24" ht="14.4" x14ac:dyDescent="0.3">
      <c r="A36" t="s">
        <v>20</v>
      </c>
      <c r="B36" t="s">
        <v>129</v>
      </c>
      <c r="C36" t="s">
        <v>22</v>
      </c>
      <c r="D36" t="s">
        <v>130</v>
      </c>
      <c r="E36" t="s">
        <v>24</v>
      </c>
      <c r="F36" t="s">
        <v>37</v>
      </c>
      <c r="G36" t="s">
        <v>26</v>
      </c>
      <c r="H36" t="s">
        <v>27</v>
      </c>
      <c r="I36" t="s">
        <v>85</v>
      </c>
      <c r="J36" t="s">
        <v>29</v>
      </c>
      <c r="K36" s="31" t="s">
        <v>49</v>
      </c>
      <c r="L36" s="2" t="s">
        <v>31</v>
      </c>
      <c r="N36" s="25" t="s">
        <v>143</v>
      </c>
      <c r="O36" s="35">
        <f t="shared" si="0"/>
        <v>45463</v>
      </c>
      <c r="P36" s="36">
        <v>46558</v>
      </c>
      <c r="Q36" s="35">
        <v>45791</v>
      </c>
      <c r="R36" s="36">
        <f t="shared" si="1"/>
        <v>46886</v>
      </c>
      <c r="S36" s="2" t="s">
        <v>31</v>
      </c>
      <c r="T36" s="2" t="s">
        <v>342</v>
      </c>
      <c r="U36" t="s">
        <v>33</v>
      </c>
      <c r="V36" s="16">
        <f t="shared" si="2"/>
        <v>18171171.17117117</v>
      </c>
      <c r="W36" s="16">
        <v>20170000</v>
      </c>
      <c r="X36" s="12" t="s">
        <v>131</v>
      </c>
    </row>
    <row r="37" spans="1:24" ht="14.4" x14ac:dyDescent="0.3">
      <c r="A37" t="s">
        <v>20</v>
      </c>
      <c r="B37" t="s">
        <v>132</v>
      </c>
      <c r="C37" t="s">
        <v>22</v>
      </c>
      <c r="D37" t="s">
        <v>130</v>
      </c>
      <c r="E37" t="s">
        <v>24</v>
      </c>
      <c r="F37" t="s">
        <v>41</v>
      </c>
      <c r="G37" t="s">
        <v>26</v>
      </c>
      <c r="H37" t="s">
        <v>27</v>
      </c>
      <c r="I37" t="s">
        <v>85</v>
      </c>
      <c r="J37" t="s">
        <v>29</v>
      </c>
      <c r="K37" s="31" t="s">
        <v>49</v>
      </c>
      <c r="L37" s="2" t="s">
        <v>31</v>
      </c>
      <c r="N37" s="25" t="s">
        <v>146</v>
      </c>
      <c r="O37" s="35">
        <f t="shared" si="0"/>
        <v>45463</v>
      </c>
      <c r="P37" s="36">
        <v>46558</v>
      </c>
      <c r="Q37" s="35">
        <v>45791</v>
      </c>
      <c r="R37" s="36">
        <f t="shared" si="1"/>
        <v>46886</v>
      </c>
      <c r="S37" s="2" t="s">
        <v>31</v>
      </c>
      <c r="T37" s="2" t="s">
        <v>342</v>
      </c>
      <c r="U37" t="s">
        <v>33</v>
      </c>
      <c r="V37" s="16">
        <f t="shared" si="2"/>
        <v>21243243.24324324</v>
      </c>
      <c r="W37" s="16">
        <v>23580000</v>
      </c>
      <c r="X37" s="12" t="s">
        <v>133</v>
      </c>
    </row>
    <row r="38" spans="1:24" ht="14.4" x14ac:dyDescent="0.3">
      <c r="A38" t="s">
        <v>20</v>
      </c>
      <c r="B38" t="s">
        <v>134</v>
      </c>
      <c r="C38" t="s">
        <v>22</v>
      </c>
      <c r="D38" t="s">
        <v>130</v>
      </c>
      <c r="E38" t="s">
        <v>65</v>
      </c>
      <c r="F38" t="s">
        <v>135</v>
      </c>
      <c r="G38" t="s">
        <v>26</v>
      </c>
      <c r="H38" t="s">
        <v>27</v>
      </c>
      <c r="I38" t="s">
        <v>85</v>
      </c>
      <c r="J38" t="s">
        <v>29</v>
      </c>
      <c r="K38" s="31" t="s">
        <v>49</v>
      </c>
      <c r="L38" s="2" t="s">
        <v>31</v>
      </c>
      <c r="M38" s="29">
        <v>0.2974</v>
      </c>
      <c r="N38" s="25" t="s">
        <v>120</v>
      </c>
      <c r="O38" s="35">
        <f t="shared" si="0"/>
        <v>45646</v>
      </c>
      <c r="P38" s="36">
        <v>46741</v>
      </c>
      <c r="Q38" s="35">
        <v>45791</v>
      </c>
      <c r="R38" s="36">
        <f t="shared" si="1"/>
        <v>46886</v>
      </c>
      <c r="S38" s="2" t="s">
        <v>31</v>
      </c>
      <c r="T38" s="2" t="s">
        <v>342</v>
      </c>
      <c r="U38" t="s">
        <v>33</v>
      </c>
      <c r="V38" s="16">
        <f t="shared" si="2"/>
        <v>19891891.891891889</v>
      </c>
      <c r="W38" s="16">
        <v>22080000</v>
      </c>
      <c r="X38" s="12" t="s">
        <v>136</v>
      </c>
    </row>
    <row r="39" spans="1:24" ht="14.4" x14ac:dyDescent="0.3">
      <c r="A39" t="s">
        <v>20</v>
      </c>
      <c r="B39" t="s">
        <v>137</v>
      </c>
      <c r="C39" t="s">
        <v>22</v>
      </c>
      <c r="D39" t="s">
        <v>130</v>
      </c>
      <c r="E39" t="s">
        <v>65</v>
      </c>
      <c r="F39" t="s">
        <v>41</v>
      </c>
      <c r="G39" t="s">
        <v>26</v>
      </c>
      <c r="H39" t="s">
        <v>27</v>
      </c>
      <c r="I39" t="s">
        <v>85</v>
      </c>
      <c r="J39" t="s">
        <v>29</v>
      </c>
      <c r="K39" s="31" t="s">
        <v>49</v>
      </c>
      <c r="L39" s="2" t="s">
        <v>31</v>
      </c>
      <c r="M39" s="28">
        <v>0.29809999999999998</v>
      </c>
      <c r="N39" s="25" t="s">
        <v>66</v>
      </c>
      <c r="O39" s="35">
        <f t="shared" si="0"/>
        <v>45463</v>
      </c>
      <c r="P39" s="36">
        <v>46558</v>
      </c>
      <c r="Q39" s="35">
        <v>45791</v>
      </c>
      <c r="R39" s="36">
        <f t="shared" si="1"/>
        <v>46886</v>
      </c>
      <c r="S39" s="2" t="s">
        <v>31</v>
      </c>
      <c r="T39" s="2" t="s">
        <v>342</v>
      </c>
      <c r="U39" t="s">
        <v>33</v>
      </c>
      <c r="V39" s="16">
        <f t="shared" si="2"/>
        <v>22774774.774774771</v>
      </c>
      <c r="W39" s="16">
        <v>25280000</v>
      </c>
      <c r="X39" s="12" t="s">
        <v>138</v>
      </c>
    </row>
    <row r="40" spans="1:24" ht="14.4" x14ac:dyDescent="0.3">
      <c r="A40" t="s">
        <v>20</v>
      </c>
      <c r="B40" t="s">
        <v>139</v>
      </c>
      <c r="C40" t="s">
        <v>22</v>
      </c>
      <c r="D40" t="s">
        <v>130</v>
      </c>
      <c r="E40" t="s">
        <v>65</v>
      </c>
      <c r="F40" t="s">
        <v>125</v>
      </c>
      <c r="G40" t="s">
        <v>26</v>
      </c>
      <c r="H40" t="s">
        <v>27</v>
      </c>
      <c r="I40" t="s">
        <v>85</v>
      </c>
      <c r="J40" t="s">
        <v>29</v>
      </c>
      <c r="K40" s="31" t="s">
        <v>49</v>
      </c>
      <c r="L40" s="2" t="s">
        <v>31</v>
      </c>
      <c r="N40" s="25" t="s">
        <v>347</v>
      </c>
      <c r="O40" s="35">
        <f t="shared" si="0"/>
        <v>45463</v>
      </c>
      <c r="P40" s="36">
        <v>46558</v>
      </c>
      <c r="Q40" s="35">
        <v>45791</v>
      </c>
      <c r="R40" s="36">
        <f t="shared" si="1"/>
        <v>46886</v>
      </c>
      <c r="S40" s="2" t="s">
        <v>31</v>
      </c>
      <c r="T40" s="2" t="s">
        <v>342</v>
      </c>
      <c r="U40" t="s">
        <v>33</v>
      </c>
      <c r="V40" s="16">
        <f t="shared" si="2"/>
        <v>15891891.891891891</v>
      </c>
      <c r="W40" s="16">
        <v>17640000</v>
      </c>
      <c r="X40" s="12" t="s">
        <v>140</v>
      </c>
    </row>
    <row r="41" spans="1:24" ht="14.4" x14ac:dyDescent="0.3">
      <c r="A41" t="s">
        <v>20</v>
      </c>
      <c r="B41" t="s">
        <v>141</v>
      </c>
      <c r="C41" t="s">
        <v>22</v>
      </c>
      <c r="D41" t="s">
        <v>142</v>
      </c>
      <c r="E41" t="s">
        <v>24</v>
      </c>
      <c r="F41" t="s">
        <v>37</v>
      </c>
      <c r="G41" t="s">
        <v>26</v>
      </c>
      <c r="H41" t="s">
        <v>27</v>
      </c>
      <c r="I41" t="s">
        <v>28</v>
      </c>
      <c r="J41" t="s">
        <v>29</v>
      </c>
      <c r="K41" s="31" t="s">
        <v>49</v>
      </c>
      <c r="L41" s="2" t="s">
        <v>31</v>
      </c>
      <c r="M41" s="29">
        <v>0.29970000000000002</v>
      </c>
      <c r="N41" s="25" t="s">
        <v>143</v>
      </c>
      <c r="O41" s="35">
        <f t="shared" si="0"/>
        <v>45463</v>
      </c>
      <c r="P41" s="36">
        <v>46558</v>
      </c>
      <c r="Q41" s="35">
        <v>45791</v>
      </c>
      <c r="R41" s="36">
        <f t="shared" si="1"/>
        <v>46886</v>
      </c>
      <c r="S41" s="2" t="s">
        <v>31</v>
      </c>
      <c r="T41" s="2" t="s">
        <v>342</v>
      </c>
      <c r="U41" t="s">
        <v>33</v>
      </c>
      <c r="V41" s="16">
        <f t="shared" si="2"/>
        <v>23711711.711711708</v>
      </c>
      <c r="W41" s="16">
        <v>26320000</v>
      </c>
      <c r="X41" s="12" t="s">
        <v>144</v>
      </c>
    </row>
    <row r="42" spans="1:24" ht="14.4" x14ac:dyDescent="0.3">
      <c r="A42" t="s">
        <v>20</v>
      </c>
      <c r="B42" t="s">
        <v>145</v>
      </c>
      <c r="C42" t="s">
        <v>22</v>
      </c>
      <c r="D42" t="s">
        <v>142</v>
      </c>
      <c r="E42" t="s">
        <v>24</v>
      </c>
      <c r="F42" t="s">
        <v>41</v>
      </c>
      <c r="G42" t="s">
        <v>26</v>
      </c>
      <c r="H42" t="s">
        <v>27</v>
      </c>
      <c r="I42" t="s">
        <v>28</v>
      </c>
      <c r="J42" t="s">
        <v>29</v>
      </c>
      <c r="K42" s="31" t="s">
        <v>49</v>
      </c>
      <c r="L42" s="2" t="s">
        <v>31</v>
      </c>
      <c r="M42" s="29">
        <v>0.2984</v>
      </c>
      <c r="N42" s="25" t="s">
        <v>146</v>
      </c>
      <c r="O42" s="35">
        <f t="shared" si="0"/>
        <v>45463</v>
      </c>
      <c r="P42" s="36">
        <v>46558</v>
      </c>
      <c r="Q42" s="35">
        <v>45791</v>
      </c>
      <c r="R42" s="36">
        <f t="shared" si="1"/>
        <v>46886</v>
      </c>
      <c r="S42" s="2" t="s">
        <v>31</v>
      </c>
      <c r="T42" s="2" t="s">
        <v>342</v>
      </c>
      <c r="U42" t="s">
        <v>33</v>
      </c>
      <c r="V42" s="16">
        <f t="shared" si="2"/>
        <v>26774774.774774771</v>
      </c>
      <c r="W42" s="16">
        <v>29720000</v>
      </c>
      <c r="X42" s="12" t="s">
        <v>147</v>
      </c>
    </row>
    <row r="43" spans="1:24" ht="14.4" x14ac:dyDescent="0.3">
      <c r="A43" t="s">
        <v>20</v>
      </c>
      <c r="B43" t="s">
        <v>148</v>
      </c>
      <c r="C43" t="s">
        <v>22</v>
      </c>
      <c r="D43" t="s">
        <v>142</v>
      </c>
      <c r="E43" t="s">
        <v>65</v>
      </c>
      <c r="F43" t="s">
        <v>37</v>
      </c>
      <c r="G43" t="s">
        <v>26</v>
      </c>
      <c r="H43" t="s">
        <v>27</v>
      </c>
      <c r="I43" t="s">
        <v>28</v>
      </c>
      <c r="J43" t="s">
        <v>29</v>
      </c>
      <c r="K43" s="31" t="s">
        <v>49</v>
      </c>
      <c r="L43" s="2" t="s">
        <v>31</v>
      </c>
      <c r="N43" s="25" t="s">
        <v>120</v>
      </c>
      <c r="O43" s="35">
        <f t="shared" si="0"/>
        <v>45646</v>
      </c>
      <c r="P43" s="36">
        <v>46741</v>
      </c>
      <c r="Q43" s="35">
        <v>45791</v>
      </c>
      <c r="R43" s="36">
        <f t="shared" si="1"/>
        <v>46886</v>
      </c>
      <c r="S43" s="2" t="s">
        <v>31</v>
      </c>
      <c r="T43" s="2" t="s">
        <v>342</v>
      </c>
      <c r="V43" s="16">
        <f t="shared" si="2"/>
        <v>25324324.324324321</v>
      </c>
      <c r="W43" s="16">
        <v>28110000</v>
      </c>
      <c r="X43" t="s">
        <v>35</v>
      </c>
    </row>
    <row r="44" spans="1:24" ht="14.4" x14ac:dyDescent="0.3">
      <c r="A44" t="s">
        <v>20</v>
      </c>
      <c r="B44" t="s">
        <v>149</v>
      </c>
      <c r="C44" t="s">
        <v>22</v>
      </c>
      <c r="D44" t="s">
        <v>142</v>
      </c>
      <c r="E44" t="s">
        <v>65</v>
      </c>
      <c r="F44" t="s">
        <v>41</v>
      </c>
      <c r="G44" t="s">
        <v>26</v>
      </c>
      <c r="H44" t="s">
        <v>27</v>
      </c>
      <c r="I44" t="s">
        <v>28</v>
      </c>
      <c r="J44" t="s">
        <v>29</v>
      </c>
      <c r="K44" s="31" t="s">
        <v>49</v>
      </c>
      <c r="L44" s="2" t="s">
        <v>31</v>
      </c>
      <c r="M44" s="28">
        <v>0.29809999999999998</v>
      </c>
      <c r="N44" s="25" t="s">
        <v>66</v>
      </c>
      <c r="O44" s="35">
        <f t="shared" si="0"/>
        <v>45463</v>
      </c>
      <c r="P44" s="36">
        <v>46558</v>
      </c>
      <c r="Q44" s="35">
        <v>45791</v>
      </c>
      <c r="R44" s="36">
        <f t="shared" si="1"/>
        <v>46886</v>
      </c>
      <c r="S44" s="2" t="s">
        <v>31</v>
      </c>
      <c r="T44" s="2" t="s">
        <v>342</v>
      </c>
      <c r="U44" t="s">
        <v>33</v>
      </c>
      <c r="V44" s="16">
        <f t="shared" si="2"/>
        <v>28387387.387387384</v>
      </c>
      <c r="W44" s="16">
        <v>31510000</v>
      </c>
      <c r="X44" s="12" t="s">
        <v>150</v>
      </c>
    </row>
    <row r="45" spans="1:24" ht="14.4" x14ac:dyDescent="0.3">
      <c r="A45" t="s">
        <v>20</v>
      </c>
      <c r="B45" t="s">
        <v>151</v>
      </c>
      <c r="C45" t="s">
        <v>22</v>
      </c>
      <c r="D45" t="s">
        <v>142</v>
      </c>
      <c r="E45" t="s">
        <v>65</v>
      </c>
      <c r="F45" t="s">
        <v>125</v>
      </c>
      <c r="G45" t="s">
        <v>26</v>
      </c>
      <c r="H45" t="s">
        <v>27</v>
      </c>
      <c r="I45" t="s">
        <v>28</v>
      </c>
      <c r="J45" t="s">
        <v>29</v>
      </c>
      <c r="K45" s="31" t="s">
        <v>49</v>
      </c>
      <c r="L45" s="2" t="s">
        <v>31</v>
      </c>
      <c r="N45" s="25" t="s">
        <v>347</v>
      </c>
      <c r="O45" s="35">
        <f t="shared" si="0"/>
        <v>45463</v>
      </c>
      <c r="P45" s="36">
        <v>46558</v>
      </c>
      <c r="Q45" s="35">
        <v>45791</v>
      </c>
      <c r="R45" s="36">
        <f t="shared" si="1"/>
        <v>46886</v>
      </c>
      <c r="S45" s="2" t="s">
        <v>31</v>
      </c>
      <c r="T45" s="2" t="s">
        <v>342</v>
      </c>
      <c r="V45" s="16">
        <f t="shared" si="2"/>
        <v>35612612.612612613</v>
      </c>
      <c r="W45" s="16">
        <v>39530000</v>
      </c>
      <c r="X45" t="s">
        <v>35</v>
      </c>
    </row>
    <row r="46" spans="1:24" ht="14.4" x14ac:dyDescent="0.3">
      <c r="A46" t="s">
        <v>20</v>
      </c>
      <c r="B46" t="s">
        <v>152</v>
      </c>
      <c r="C46" t="s">
        <v>22</v>
      </c>
      <c r="D46" t="s">
        <v>153</v>
      </c>
      <c r="E46" t="s">
        <v>24</v>
      </c>
      <c r="F46" t="s">
        <v>154</v>
      </c>
      <c r="G46" t="s">
        <v>26</v>
      </c>
      <c r="H46" t="s">
        <v>27</v>
      </c>
      <c r="I46" t="s">
        <v>28</v>
      </c>
      <c r="J46" t="s">
        <v>29</v>
      </c>
      <c r="K46" s="31" t="s">
        <v>155</v>
      </c>
      <c r="L46" s="2" t="s">
        <v>31</v>
      </c>
      <c r="N46" s="25" t="s">
        <v>345</v>
      </c>
      <c r="O46" s="35">
        <f t="shared" si="0"/>
        <v>45847</v>
      </c>
      <c r="P46" s="36">
        <v>46942</v>
      </c>
      <c r="Q46" s="35">
        <v>45791</v>
      </c>
      <c r="R46" s="36">
        <f t="shared" si="1"/>
        <v>46886</v>
      </c>
      <c r="S46" s="2" t="s">
        <v>31</v>
      </c>
      <c r="T46" s="2" t="s">
        <v>342</v>
      </c>
      <c r="U46" t="s">
        <v>33</v>
      </c>
      <c r="V46" s="16">
        <f t="shared" si="2"/>
        <v>25747747.747747745</v>
      </c>
      <c r="W46" s="16">
        <v>28580000</v>
      </c>
      <c r="X46" s="12" t="s">
        <v>156</v>
      </c>
    </row>
    <row r="47" spans="1:24" ht="14.4" x14ac:dyDescent="0.3">
      <c r="A47" t="s">
        <v>20</v>
      </c>
      <c r="B47" t="s">
        <v>157</v>
      </c>
      <c r="C47" t="s">
        <v>22</v>
      </c>
      <c r="D47" t="s">
        <v>153</v>
      </c>
      <c r="E47" t="s">
        <v>65</v>
      </c>
      <c r="F47" t="s">
        <v>154</v>
      </c>
      <c r="G47" t="s">
        <v>26</v>
      </c>
      <c r="H47" t="s">
        <v>27</v>
      </c>
      <c r="I47" t="s">
        <v>28</v>
      </c>
      <c r="J47" t="s">
        <v>29</v>
      </c>
      <c r="K47" s="31" t="s">
        <v>155</v>
      </c>
      <c r="L47" s="2" t="s">
        <v>31</v>
      </c>
      <c r="N47" s="25" t="s">
        <v>346</v>
      </c>
      <c r="O47" s="35">
        <f t="shared" si="0"/>
        <v>45847</v>
      </c>
      <c r="P47" s="36">
        <v>46942</v>
      </c>
      <c r="Q47" s="35">
        <v>45791</v>
      </c>
      <c r="R47" s="36">
        <f t="shared" si="1"/>
        <v>46886</v>
      </c>
      <c r="S47" s="2" t="s">
        <v>31</v>
      </c>
      <c r="T47" s="2" t="s">
        <v>342</v>
      </c>
      <c r="V47" s="16">
        <f t="shared" si="2"/>
        <v>29657657.657657657</v>
      </c>
      <c r="W47" s="16">
        <v>32920000</v>
      </c>
      <c r="X47" t="s">
        <v>35</v>
      </c>
    </row>
    <row r="48" spans="1:24" ht="14.4" x14ac:dyDescent="0.3">
      <c r="A48" t="s">
        <v>20</v>
      </c>
      <c r="B48" t="s">
        <v>158</v>
      </c>
      <c r="C48" t="s">
        <v>22</v>
      </c>
      <c r="D48" t="s">
        <v>159</v>
      </c>
      <c r="E48" t="s">
        <v>24</v>
      </c>
      <c r="F48" t="s">
        <v>154</v>
      </c>
      <c r="G48" t="s">
        <v>26</v>
      </c>
      <c r="H48" t="s">
        <v>27</v>
      </c>
      <c r="I48" t="s">
        <v>28</v>
      </c>
      <c r="J48" t="s">
        <v>29</v>
      </c>
      <c r="K48" s="31" t="s">
        <v>155</v>
      </c>
      <c r="L48" s="2" t="s">
        <v>31</v>
      </c>
      <c r="N48" s="25" t="s">
        <v>344</v>
      </c>
      <c r="O48" s="35">
        <f t="shared" si="0"/>
        <v>45847</v>
      </c>
      <c r="P48" s="36">
        <v>46942</v>
      </c>
      <c r="Q48" s="35">
        <v>45791</v>
      </c>
      <c r="R48" s="36">
        <f t="shared" si="1"/>
        <v>46886</v>
      </c>
      <c r="S48" s="2" t="s">
        <v>31</v>
      </c>
      <c r="T48" s="2" t="s">
        <v>342</v>
      </c>
      <c r="V48" s="16">
        <f t="shared" si="2"/>
        <v>29999999.999999996</v>
      </c>
      <c r="W48" s="16">
        <v>33300000</v>
      </c>
      <c r="X48" t="s">
        <v>35</v>
      </c>
    </row>
    <row r="49" spans="1:24" ht="14.4" x14ac:dyDescent="0.3">
      <c r="A49" t="s">
        <v>20</v>
      </c>
      <c r="B49" t="s">
        <v>160</v>
      </c>
      <c r="C49" t="s">
        <v>22</v>
      </c>
      <c r="D49" t="s">
        <v>159</v>
      </c>
      <c r="E49" t="s">
        <v>65</v>
      </c>
      <c r="F49" t="s">
        <v>154</v>
      </c>
      <c r="G49" t="s">
        <v>26</v>
      </c>
      <c r="H49" t="s">
        <v>27</v>
      </c>
      <c r="I49" t="s">
        <v>28</v>
      </c>
      <c r="J49" t="s">
        <v>29</v>
      </c>
      <c r="K49" s="31" t="s">
        <v>155</v>
      </c>
      <c r="L49" s="2" t="s">
        <v>31</v>
      </c>
      <c r="N49" s="25" t="s">
        <v>343</v>
      </c>
      <c r="O49" s="35">
        <f t="shared" si="0"/>
        <v>45847</v>
      </c>
      <c r="P49" s="36">
        <v>46942</v>
      </c>
      <c r="Q49" s="35">
        <v>45791</v>
      </c>
      <c r="R49" s="36">
        <f t="shared" si="1"/>
        <v>46886</v>
      </c>
      <c r="S49" s="2" t="s">
        <v>31</v>
      </c>
      <c r="T49" s="2" t="s">
        <v>342</v>
      </c>
      <c r="V49" s="16">
        <f t="shared" si="2"/>
        <v>33909909.909909904</v>
      </c>
      <c r="W49" s="16">
        <v>37640000</v>
      </c>
      <c r="X49" t="s">
        <v>35</v>
      </c>
    </row>
    <row r="50" spans="1:24" ht="14.4" x14ac:dyDescent="0.3">
      <c r="A50" t="s">
        <v>20</v>
      </c>
      <c r="B50" s="32" t="s">
        <v>161</v>
      </c>
      <c r="C50" t="s">
        <v>22</v>
      </c>
      <c r="D50" t="s">
        <v>162</v>
      </c>
      <c r="E50" t="s">
        <v>24</v>
      </c>
      <c r="F50" t="s">
        <v>154</v>
      </c>
      <c r="G50" t="s">
        <v>26</v>
      </c>
      <c r="H50" t="s">
        <v>163</v>
      </c>
      <c r="I50" t="s">
        <v>28</v>
      </c>
      <c r="J50" t="s">
        <v>29</v>
      </c>
      <c r="K50" s="31" t="s">
        <v>155</v>
      </c>
      <c r="L50" s="2" t="s">
        <v>31</v>
      </c>
      <c r="N50" s="25" t="s">
        <v>344</v>
      </c>
      <c r="O50" s="35">
        <f t="shared" si="0"/>
        <v>45847</v>
      </c>
      <c r="P50" s="36">
        <v>46942</v>
      </c>
      <c r="Q50" s="35">
        <v>45791</v>
      </c>
      <c r="R50" s="36">
        <f t="shared" si="1"/>
        <v>46886</v>
      </c>
      <c r="S50" s="2" t="s">
        <v>31</v>
      </c>
      <c r="T50" s="2" t="s">
        <v>342</v>
      </c>
      <c r="V50" s="16">
        <f t="shared" si="2"/>
        <v>36630630.630630627</v>
      </c>
      <c r="W50" s="16">
        <v>40660000</v>
      </c>
      <c r="X50" t="s">
        <v>35</v>
      </c>
    </row>
    <row r="51" spans="1:24" ht="14.4" x14ac:dyDescent="0.3">
      <c r="A51" t="s">
        <v>20</v>
      </c>
      <c r="B51" s="32" t="s">
        <v>164</v>
      </c>
      <c r="C51" t="s">
        <v>22</v>
      </c>
      <c r="D51" t="s">
        <v>162</v>
      </c>
      <c r="E51" t="s">
        <v>65</v>
      </c>
      <c r="F51" t="s">
        <v>41</v>
      </c>
      <c r="G51" t="s">
        <v>26</v>
      </c>
      <c r="H51" t="s">
        <v>163</v>
      </c>
      <c r="I51" t="s">
        <v>28</v>
      </c>
      <c r="J51" t="s">
        <v>29</v>
      </c>
      <c r="K51" s="31" t="s">
        <v>155</v>
      </c>
      <c r="L51" s="2" t="s">
        <v>31</v>
      </c>
      <c r="N51" s="25" t="s">
        <v>343</v>
      </c>
      <c r="O51" s="35">
        <f t="shared" si="0"/>
        <v>45847</v>
      </c>
      <c r="P51" s="36">
        <v>46942</v>
      </c>
      <c r="Q51" s="35">
        <v>45791</v>
      </c>
      <c r="R51" s="36">
        <f t="shared" si="1"/>
        <v>46886</v>
      </c>
      <c r="S51" s="2" t="s">
        <v>31</v>
      </c>
      <c r="T51" s="2" t="s">
        <v>342</v>
      </c>
      <c r="U51" t="s">
        <v>33</v>
      </c>
      <c r="V51" s="16">
        <f t="shared" si="2"/>
        <v>40540540.540540539</v>
      </c>
      <c r="W51" s="16">
        <v>45000000</v>
      </c>
      <c r="X51" s="12" t="s">
        <v>165</v>
      </c>
    </row>
    <row r="52" spans="1:24" ht="14.4" x14ac:dyDescent="0.3">
      <c r="A52" t="s">
        <v>20</v>
      </c>
      <c r="B52" s="32" t="s">
        <v>166</v>
      </c>
      <c r="C52" t="s">
        <v>22</v>
      </c>
      <c r="D52" t="s">
        <v>167</v>
      </c>
      <c r="E52" t="s">
        <v>65</v>
      </c>
      <c r="F52" t="s">
        <v>41</v>
      </c>
      <c r="G52" t="s">
        <v>26</v>
      </c>
      <c r="H52" t="s">
        <v>27</v>
      </c>
      <c r="I52" t="s">
        <v>28</v>
      </c>
      <c r="J52" t="s">
        <v>29</v>
      </c>
      <c r="K52" s="31" t="s">
        <v>155</v>
      </c>
      <c r="L52" s="2" t="s">
        <v>31</v>
      </c>
      <c r="N52" s="25" t="s">
        <v>343</v>
      </c>
      <c r="O52" s="35">
        <f t="shared" si="0"/>
        <v>45847</v>
      </c>
      <c r="P52" s="36">
        <v>46942</v>
      </c>
      <c r="Q52" s="35">
        <v>45791</v>
      </c>
      <c r="R52" s="36">
        <f t="shared" si="1"/>
        <v>46886</v>
      </c>
      <c r="S52" s="2" t="s">
        <v>31</v>
      </c>
      <c r="T52" s="2" t="s">
        <v>342</v>
      </c>
      <c r="V52" s="16">
        <f t="shared" si="2"/>
        <v>32378378.378378376</v>
      </c>
      <c r="W52" s="16">
        <v>35940000</v>
      </c>
      <c r="X52" t="s">
        <v>35</v>
      </c>
    </row>
    <row r="53" spans="1:24" ht="14.4" x14ac:dyDescent="0.3">
      <c r="A53" s="18" t="s">
        <v>20</v>
      </c>
      <c r="B53" s="33" t="s">
        <v>168</v>
      </c>
      <c r="C53" s="18" t="s">
        <v>22</v>
      </c>
      <c r="D53" s="18" t="s">
        <v>169</v>
      </c>
      <c r="E53" s="18" t="s">
        <v>65</v>
      </c>
      <c r="F53" s="18" t="s">
        <v>41</v>
      </c>
      <c r="G53" s="18" t="s">
        <v>26</v>
      </c>
      <c r="H53" s="18" t="s">
        <v>170</v>
      </c>
      <c r="I53" s="18" t="s">
        <v>48</v>
      </c>
      <c r="J53" s="18" t="s">
        <v>29</v>
      </c>
      <c r="K53" s="31" t="s">
        <v>49</v>
      </c>
      <c r="L53" s="2" t="s">
        <v>31</v>
      </c>
      <c r="M53" s="30">
        <v>0.30020000000000002</v>
      </c>
      <c r="N53" s="18" t="s">
        <v>112</v>
      </c>
      <c r="O53" s="35">
        <f t="shared" si="0"/>
        <v>45463</v>
      </c>
      <c r="P53" s="36">
        <v>46558</v>
      </c>
      <c r="Q53" s="35">
        <v>45791</v>
      </c>
      <c r="R53" s="36">
        <f t="shared" si="1"/>
        <v>46886</v>
      </c>
      <c r="S53" s="2" t="s">
        <v>31</v>
      </c>
      <c r="T53" s="2" t="s">
        <v>342</v>
      </c>
      <c r="U53" s="18" t="s">
        <v>33</v>
      </c>
      <c r="V53" s="16">
        <f t="shared" si="2"/>
        <v>29405405.405405402</v>
      </c>
      <c r="W53" s="16">
        <v>32640000</v>
      </c>
      <c r="X53" s="19" t="s">
        <v>171</v>
      </c>
    </row>
    <row r="54" spans="1:24" ht="14.4" x14ac:dyDescent="0.3">
      <c r="A54" s="18" t="s">
        <v>20</v>
      </c>
      <c r="B54" s="33" t="s">
        <v>172</v>
      </c>
      <c r="C54" s="18" t="s">
        <v>22</v>
      </c>
      <c r="D54" s="18" t="s">
        <v>169</v>
      </c>
      <c r="E54" s="18" t="s">
        <v>173</v>
      </c>
      <c r="F54" s="18" t="s">
        <v>41</v>
      </c>
      <c r="G54" s="18" t="s">
        <v>26</v>
      </c>
      <c r="H54" s="18" t="s">
        <v>170</v>
      </c>
      <c r="I54" s="18" t="s">
        <v>48</v>
      </c>
      <c r="J54" s="18" t="s">
        <v>29</v>
      </c>
      <c r="K54" s="31" t="s">
        <v>49</v>
      </c>
      <c r="L54" s="2" t="s">
        <v>31</v>
      </c>
      <c r="M54" s="29">
        <v>0.29970000000000002</v>
      </c>
      <c r="N54" s="18" t="s">
        <v>174</v>
      </c>
      <c r="O54" s="35">
        <f t="shared" si="0"/>
        <v>45646</v>
      </c>
      <c r="P54" s="36">
        <v>46741</v>
      </c>
      <c r="Q54" s="35">
        <v>45791</v>
      </c>
      <c r="R54" s="36">
        <f t="shared" si="1"/>
        <v>46886</v>
      </c>
      <c r="S54" s="2" t="s">
        <v>31</v>
      </c>
      <c r="T54" s="2" t="s">
        <v>342</v>
      </c>
      <c r="U54" s="18" t="s">
        <v>33</v>
      </c>
      <c r="V54" s="16">
        <f t="shared" si="2"/>
        <v>32468468.468468465</v>
      </c>
      <c r="W54" s="16">
        <v>36040000</v>
      </c>
      <c r="X54" s="18"/>
    </row>
    <row r="55" spans="1:24" ht="14.4" x14ac:dyDescent="0.3">
      <c r="A55" s="18" t="s">
        <v>20</v>
      </c>
      <c r="B55" s="33" t="s">
        <v>175</v>
      </c>
      <c r="C55" s="18" t="s">
        <v>22</v>
      </c>
      <c r="D55" s="18" t="s">
        <v>176</v>
      </c>
      <c r="E55" s="18" t="s">
        <v>24</v>
      </c>
      <c r="F55" s="18" t="s">
        <v>177</v>
      </c>
      <c r="G55" s="18" t="s">
        <v>178</v>
      </c>
      <c r="H55" s="18" t="s">
        <v>27</v>
      </c>
      <c r="I55" s="18" t="s">
        <v>28</v>
      </c>
      <c r="J55" s="18" t="s">
        <v>29</v>
      </c>
      <c r="K55" s="31" t="s">
        <v>49</v>
      </c>
      <c r="L55" s="2" t="s">
        <v>31</v>
      </c>
      <c r="M55" s="29">
        <v>0.29970000000000002</v>
      </c>
      <c r="N55" s="18" t="s">
        <v>143</v>
      </c>
      <c r="O55" s="35">
        <f t="shared" si="0"/>
        <v>45463</v>
      </c>
      <c r="P55" s="37">
        <v>46558</v>
      </c>
      <c r="Q55" s="35">
        <v>45791</v>
      </c>
      <c r="R55" s="36">
        <f t="shared" si="1"/>
        <v>46886</v>
      </c>
      <c r="S55" s="2" t="s">
        <v>31</v>
      </c>
      <c r="T55" s="2" t="s">
        <v>342</v>
      </c>
      <c r="U55" s="18" t="s">
        <v>33</v>
      </c>
      <c r="V55" s="16">
        <f t="shared" si="2"/>
        <v>19891891.891891889</v>
      </c>
      <c r="W55" s="16">
        <v>22080000</v>
      </c>
      <c r="X55" s="12" t="s">
        <v>179</v>
      </c>
    </row>
    <row r="56" spans="1:24" ht="14.4" x14ac:dyDescent="0.3">
      <c r="A56" s="18" t="s">
        <v>20</v>
      </c>
      <c r="B56" s="33" t="s">
        <v>180</v>
      </c>
      <c r="C56" s="18" t="s">
        <v>22</v>
      </c>
      <c r="D56" s="18" t="s">
        <v>176</v>
      </c>
      <c r="E56" s="18" t="s">
        <v>65</v>
      </c>
      <c r="F56" s="18" t="s">
        <v>41</v>
      </c>
      <c r="G56" s="18" t="s">
        <v>178</v>
      </c>
      <c r="H56" s="18" t="s">
        <v>27</v>
      </c>
      <c r="I56" s="18" t="s">
        <v>28</v>
      </c>
      <c r="J56" s="18" t="s">
        <v>29</v>
      </c>
      <c r="K56" s="31" t="s">
        <v>49</v>
      </c>
      <c r="L56" s="2" t="s">
        <v>31</v>
      </c>
      <c r="M56" s="28">
        <v>0.29809999999999998</v>
      </c>
      <c r="N56" s="18" t="s">
        <v>66</v>
      </c>
      <c r="O56" s="35">
        <f t="shared" si="0"/>
        <v>45463</v>
      </c>
      <c r="P56" s="36">
        <v>46558</v>
      </c>
      <c r="Q56" s="35">
        <v>45791</v>
      </c>
      <c r="R56" s="36">
        <f t="shared" si="1"/>
        <v>46886</v>
      </c>
      <c r="S56" s="2" t="s">
        <v>31</v>
      </c>
      <c r="T56" s="2" t="s">
        <v>342</v>
      </c>
      <c r="U56" s="18" t="s">
        <v>33</v>
      </c>
      <c r="V56" s="16">
        <f t="shared" si="2"/>
        <v>24558558.558558557</v>
      </c>
      <c r="W56" s="16">
        <v>27260000</v>
      </c>
      <c r="X56" s="12" t="s">
        <v>181</v>
      </c>
    </row>
    <row r="57" spans="1:24" ht="14.4" x14ac:dyDescent="0.3">
      <c r="A57" s="18" t="s">
        <v>20</v>
      </c>
      <c r="B57" s="33" t="s">
        <v>182</v>
      </c>
      <c r="C57" s="18" t="s">
        <v>22</v>
      </c>
      <c r="D57" s="18" t="s">
        <v>176</v>
      </c>
      <c r="E57" s="18" t="s">
        <v>173</v>
      </c>
      <c r="F57" s="18" t="s">
        <v>41</v>
      </c>
      <c r="G57" s="18" t="s">
        <v>178</v>
      </c>
      <c r="H57" s="18" t="s">
        <v>27</v>
      </c>
      <c r="I57" s="18" t="s">
        <v>28</v>
      </c>
      <c r="J57" s="18" t="s">
        <v>29</v>
      </c>
      <c r="K57" s="31" t="s">
        <v>49</v>
      </c>
      <c r="L57" s="2" t="s">
        <v>31</v>
      </c>
      <c r="M57" s="28">
        <v>0.29809999999999998</v>
      </c>
      <c r="N57" s="18" t="s">
        <v>183</v>
      </c>
      <c r="O57" s="35">
        <f t="shared" si="0"/>
        <v>45581</v>
      </c>
      <c r="P57" s="37">
        <v>46676</v>
      </c>
      <c r="Q57" s="35">
        <v>45791</v>
      </c>
      <c r="R57" s="36">
        <f t="shared" si="1"/>
        <v>46886</v>
      </c>
      <c r="S57" s="2" t="s">
        <v>31</v>
      </c>
      <c r="T57" s="2" t="s">
        <v>342</v>
      </c>
      <c r="U57" s="18" t="s">
        <v>33</v>
      </c>
      <c r="V57" s="16">
        <f t="shared" si="2"/>
        <v>28306306.306306303</v>
      </c>
      <c r="W57" s="16">
        <v>31420000</v>
      </c>
      <c r="X57" s="12" t="s">
        <v>184</v>
      </c>
    </row>
    <row r="58" spans="1:24" ht="14.4" x14ac:dyDescent="0.3">
      <c r="A58" s="18" t="s">
        <v>20</v>
      </c>
      <c r="B58" s="33" t="s">
        <v>185</v>
      </c>
      <c r="C58" s="18" t="s">
        <v>22</v>
      </c>
      <c r="D58" s="18" t="s">
        <v>186</v>
      </c>
      <c r="E58" s="18" t="s">
        <v>24</v>
      </c>
      <c r="F58" s="18" t="s">
        <v>37</v>
      </c>
      <c r="G58" s="18" t="s">
        <v>26</v>
      </c>
      <c r="H58" s="18" t="s">
        <v>170</v>
      </c>
      <c r="I58" s="18" t="s">
        <v>28</v>
      </c>
      <c r="J58" s="18" t="s">
        <v>29</v>
      </c>
      <c r="K58" s="31" t="s">
        <v>49</v>
      </c>
      <c r="L58" s="2" t="s">
        <v>31</v>
      </c>
      <c r="M58" s="29">
        <v>0.29970000000000002</v>
      </c>
      <c r="N58" s="18" t="s">
        <v>143</v>
      </c>
      <c r="O58" s="35">
        <f t="shared" si="0"/>
        <v>45463</v>
      </c>
      <c r="P58" s="36">
        <v>46558</v>
      </c>
      <c r="Q58" s="35">
        <v>45791</v>
      </c>
      <c r="R58" s="36">
        <f t="shared" si="1"/>
        <v>46886</v>
      </c>
      <c r="S58" s="2" t="s">
        <v>31</v>
      </c>
      <c r="T58" s="2" t="s">
        <v>342</v>
      </c>
      <c r="U58" s="18"/>
      <c r="V58" s="16">
        <f t="shared" si="2"/>
        <v>34756756.756756753</v>
      </c>
      <c r="W58" s="16">
        <v>38580000</v>
      </c>
      <c r="X58" s="12" t="s">
        <v>187</v>
      </c>
    </row>
    <row r="59" spans="1:24" ht="14.4" x14ac:dyDescent="0.3">
      <c r="A59" s="18" t="s">
        <v>20</v>
      </c>
      <c r="B59" s="33" t="s">
        <v>188</v>
      </c>
      <c r="C59" s="18" t="s">
        <v>22</v>
      </c>
      <c r="D59" s="18" t="s">
        <v>186</v>
      </c>
      <c r="E59" s="18" t="s">
        <v>65</v>
      </c>
      <c r="F59" s="18" t="s">
        <v>41</v>
      </c>
      <c r="G59" s="18" t="s">
        <v>26</v>
      </c>
      <c r="H59" s="22" t="s">
        <v>170</v>
      </c>
      <c r="I59" s="18" t="s">
        <v>28</v>
      </c>
      <c r="J59" s="18" t="s">
        <v>29</v>
      </c>
      <c r="K59" s="31" t="s">
        <v>49</v>
      </c>
      <c r="L59" s="2" t="s">
        <v>31</v>
      </c>
      <c r="M59" s="28">
        <v>0.29809999999999998</v>
      </c>
      <c r="N59" s="18" t="s">
        <v>66</v>
      </c>
      <c r="O59" s="35">
        <f t="shared" si="0"/>
        <v>45463</v>
      </c>
      <c r="P59" s="36">
        <v>46558</v>
      </c>
      <c r="Q59" s="35">
        <v>45791</v>
      </c>
      <c r="R59" s="36">
        <f t="shared" si="1"/>
        <v>46886</v>
      </c>
      <c r="S59" s="2" t="s">
        <v>31</v>
      </c>
      <c r="T59" s="2" t="s">
        <v>342</v>
      </c>
      <c r="U59" s="18"/>
      <c r="V59" s="16">
        <f t="shared" si="2"/>
        <v>39432432.432432428</v>
      </c>
      <c r="W59" s="16">
        <v>43770000</v>
      </c>
      <c r="X59" s="21" t="s">
        <v>189</v>
      </c>
    </row>
    <row r="60" spans="1:24" ht="14.4" x14ac:dyDescent="0.3">
      <c r="A60" s="18" t="s">
        <v>20</v>
      </c>
      <c r="B60" s="33" t="s">
        <v>190</v>
      </c>
      <c r="C60" s="18" t="s">
        <v>22</v>
      </c>
      <c r="D60" s="18" t="s">
        <v>186</v>
      </c>
      <c r="E60" s="18" t="s">
        <v>173</v>
      </c>
      <c r="F60" s="18" t="s">
        <v>41</v>
      </c>
      <c r="G60" s="18" t="s">
        <v>26</v>
      </c>
      <c r="H60" s="18" t="s">
        <v>170</v>
      </c>
      <c r="I60" s="18" t="s">
        <v>28</v>
      </c>
      <c r="J60" s="18" t="s">
        <v>29</v>
      </c>
      <c r="K60" s="31" t="s">
        <v>49</v>
      </c>
      <c r="L60" s="2" t="s">
        <v>31</v>
      </c>
      <c r="M60" s="28">
        <v>0.29809999999999998</v>
      </c>
      <c r="N60" s="18" t="s">
        <v>183</v>
      </c>
      <c r="O60" s="35">
        <f t="shared" si="0"/>
        <v>45581</v>
      </c>
      <c r="P60" s="37">
        <v>46676</v>
      </c>
      <c r="Q60" s="35">
        <v>45791</v>
      </c>
      <c r="R60" s="36">
        <f t="shared" si="1"/>
        <v>46886</v>
      </c>
      <c r="S60" s="2" t="s">
        <v>31</v>
      </c>
      <c r="T60" s="2" t="s">
        <v>342</v>
      </c>
      <c r="U60" s="18"/>
      <c r="V60" s="16">
        <f t="shared" si="2"/>
        <v>43171171.171171166</v>
      </c>
      <c r="W60" s="16">
        <v>47920000</v>
      </c>
      <c r="X60" s="12" t="s">
        <v>191</v>
      </c>
    </row>
    <row r="61" spans="1:24" ht="14.4" x14ac:dyDescent="0.3">
      <c r="A61" s="20" t="s">
        <v>20</v>
      </c>
      <c r="B61" s="34" t="s">
        <v>192</v>
      </c>
      <c r="C61" t="s">
        <v>193</v>
      </c>
      <c r="D61" t="s">
        <v>194</v>
      </c>
      <c r="E61" t="s">
        <v>65</v>
      </c>
      <c r="F61" t="s">
        <v>195</v>
      </c>
      <c r="G61" t="s">
        <v>26</v>
      </c>
      <c r="H61" t="s">
        <v>27</v>
      </c>
      <c r="I61" t="s">
        <v>28</v>
      </c>
      <c r="J61" t="s">
        <v>196</v>
      </c>
      <c r="K61" s="31" t="s">
        <v>49</v>
      </c>
      <c r="L61" s="2" t="s">
        <v>31</v>
      </c>
      <c r="M61" s="29">
        <v>0.27050000000000002</v>
      </c>
      <c r="N61" t="s">
        <v>197</v>
      </c>
      <c r="O61" s="35">
        <f t="shared" si="0"/>
        <v>45902</v>
      </c>
      <c r="P61" s="36">
        <v>46997</v>
      </c>
      <c r="Q61" s="35">
        <v>45791</v>
      </c>
      <c r="R61" s="36">
        <f t="shared" si="1"/>
        <v>46886</v>
      </c>
      <c r="S61" s="2" t="s">
        <v>31</v>
      </c>
      <c r="V61" s="16">
        <f t="shared" si="2"/>
        <v>14126126.126126125</v>
      </c>
      <c r="W61" s="16">
        <v>15680000</v>
      </c>
      <c r="X61" t="s">
        <v>35</v>
      </c>
    </row>
    <row r="62" spans="1:24" ht="14.4" x14ac:dyDescent="0.3">
      <c r="A62" t="s">
        <v>20</v>
      </c>
      <c r="B62" s="32" t="s">
        <v>198</v>
      </c>
      <c r="C62" t="s">
        <v>193</v>
      </c>
      <c r="D62" t="s">
        <v>199</v>
      </c>
      <c r="E62" t="s">
        <v>24</v>
      </c>
      <c r="F62" t="s">
        <v>195</v>
      </c>
      <c r="G62" t="s">
        <v>26</v>
      </c>
      <c r="H62" t="s">
        <v>27</v>
      </c>
      <c r="I62" t="s">
        <v>28</v>
      </c>
      <c r="J62" t="s">
        <v>196</v>
      </c>
      <c r="K62" s="31" t="s">
        <v>49</v>
      </c>
      <c r="L62" s="3" t="s">
        <v>31</v>
      </c>
      <c r="M62" s="29">
        <v>0.2918</v>
      </c>
      <c r="N62" t="s">
        <v>200</v>
      </c>
      <c r="O62" s="35">
        <f t="shared" si="0"/>
        <v>45870</v>
      </c>
      <c r="P62" s="36">
        <v>46965</v>
      </c>
      <c r="Q62" s="35">
        <v>45791</v>
      </c>
      <c r="R62" s="36">
        <f t="shared" si="1"/>
        <v>46886</v>
      </c>
      <c r="S62" s="2" t="s">
        <v>31</v>
      </c>
      <c r="V62" s="16">
        <f t="shared" si="2"/>
        <v>9945945.9459459446</v>
      </c>
      <c r="W62" s="16">
        <v>11040000</v>
      </c>
      <c r="X62" t="s">
        <v>35</v>
      </c>
    </row>
    <row r="63" spans="1:24" ht="14.4" x14ac:dyDescent="0.3">
      <c r="A63" t="s">
        <v>20</v>
      </c>
      <c r="B63" t="s">
        <v>201</v>
      </c>
      <c r="C63" t="s">
        <v>193</v>
      </c>
      <c r="D63" t="s">
        <v>194</v>
      </c>
      <c r="E63" t="s">
        <v>65</v>
      </c>
      <c r="F63" t="s">
        <v>202</v>
      </c>
      <c r="G63" t="s">
        <v>26</v>
      </c>
      <c r="H63" t="s">
        <v>27</v>
      </c>
      <c r="I63" t="s">
        <v>28</v>
      </c>
      <c r="J63" t="s">
        <v>196</v>
      </c>
      <c r="K63" s="31" t="s">
        <v>49</v>
      </c>
      <c r="L63" s="3" t="s">
        <v>31</v>
      </c>
      <c r="M63" s="29">
        <v>0.27110000000000001</v>
      </c>
      <c r="N63" t="s">
        <v>203</v>
      </c>
      <c r="O63" s="35">
        <f t="shared" si="0"/>
        <v>45902</v>
      </c>
      <c r="P63" s="36">
        <v>46997</v>
      </c>
      <c r="Q63" s="35">
        <v>45791</v>
      </c>
      <c r="R63" s="36">
        <f t="shared" si="1"/>
        <v>46886</v>
      </c>
      <c r="S63" s="3" t="s">
        <v>31</v>
      </c>
      <c r="V63" s="16">
        <f t="shared" si="2"/>
        <v>18738738.738738738</v>
      </c>
      <c r="W63" s="16">
        <v>20800000</v>
      </c>
      <c r="X63" t="s">
        <v>35</v>
      </c>
    </row>
    <row r="64" spans="1:24" ht="14.4" x14ac:dyDescent="0.3">
      <c r="A64" t="s">
        <v>20</v>
      </c>
      <c r="B64" t="s">
        <v>204</v>
      </c>
      <c r="C64" t="s">
        <v>193</v>
      </c>
      <c r="D64" t="s">
        <v>194</v>
      </c>
      <c r="E64" t="s">
        <v>65</v>
      </c>
      <c r="F64" t="s">
        <v>205</v>
      </c>
      <c r="G64" t="s">
        <v>26</v>
      </c>
      <c r="H64" t="s">
        <v>27</v>
      </c>
      <c r="I64" t="s">
        <v>28</v>
      </c>
      <c r="J64" t="s">
        <v>196</v>
      </c>
      <c r="K64" s="31" t="s">
        <v>49</v>
      </c>
      <c r="L64" s="3" t="s">
        <v>31</v>
      </c>
      <c r="M64" s="29">
        <v>0.27229999999999999</v>
      </c>
      <c r="N64" s="18" t="s">
        <v>206</v>
      </c>
      <c r="O64" s="35">
        <f t="shared" si="0"/>
        <v>45902</v>
      </c>
      <c r="P64" s="36">
        <v>46997</v>
      </c>
      <c r="Q64" s="35">
        <v>45791</v>
      </c>
      <c r="R64" s="36">
        <f t="shared" si="1"/>
        <v>46886</v>
      </c>
      <c r="S64" s="3" t="s">
        <v>31</v>
      </c>
      <c r="V64" s="16">
        <f t="shared" si="2"/>
        <v>21621621.62162162</v>
      </c>
      <c r="W64" s="16">
        <v>24000000</v>
      </c>
      <c r="X64" t="s">
        <v>35</v>
      </c>
    </row>
    <row r="65" spans="1:24" ht="14.4" x14ac:dyDescent="0.3">
      <c r="A65" t="s">
        <v>20</v>
      </c>
      <c r="B65" t="s">
        <v>207</v>
      </c>
      <c r="C65" t="s">
        <v>193</v>
      </c>
      <c r="D65" t="s">
        <v>199</v>
      </c>
      <c r="E65" t="s">
        <v>24</v>
      </c>
      <c r="F65" t="s">
        <v>202</v>
      </c>
      <c r="G65" t="s">
        <v>26</v>
      </c>
      <c r="H65" t="s">
        <v>27</v>
      </c>
      <c r="I65" t="s">
        <v>28</v>
      </c>
      <c r="J65" t="s">
        <v>196</v>
      </c>
      <c r="K65" s="31" t="s">
        <v>49</v>
      </c>
      <c r="L65" s="3" t="s">
        <v>31</v>
      </c>
      <c r="M65" s="29">
        <v>0.27079999999999999</v>
      </c>
      <c r="N65" t="s">
        <v>208</v>
      </c>
      <c r="O65" s="35">
        <f t="shared" si="0"/>
        <v>45902</v>
      </c>
      <c r="P65" s="36">
        <v>46997</v>
      </c>
      <c r="Q65" s="35">
        <v>45791</v>
      </c>
      <c r="R65" s="36">
        <f t="shared" si="1"/>
        <v>46886</v>
      </c>
      <c r="S65" s="3" t="s">
        <v>31</v>
      </c>
      <c r="V65" s="16">
        <f t="shared" si="2"/>
        <v>12108108.108108107</v>
      </c>
      <c r="W65" s="16">
        <v>13440000</v>
      </c>
      <c r="X65" t="s">
        <v>35</v>
      </c>
    </row>
    <row r="66" spans="1:24" ht="14.4" x14ac:dyDescent="0.3">
      <c r="A66" t="s">
        <v>20</v>
      </c>
      <c r="B66" t="s">
        <v>209</v>
      </c>
      <c r="C66" t="s">
        <v>193</v>
      </c>
      <c r="D66" t="s">
        <v>199</v>
      </c>
      <c r="E66" t="s">
        <v>24</v>
      </c>
      <c r="F66" t="s">
        <v>205</v>
      </c>
      <c r="G66" t="s">
        <v>26</v>
      </c>
      <c r="H66" t="s">
        <v>27</v>
      </c>
      <c r="I66" t="s">
        <v>28</v>
      </c>
      <c r="J66" t="s">
        <v>196</v>
      </c>
      <c r="K66" s="31" t="s">
        <v>49</v>
      </c>
      <c r="L66" s="3" t="s">
        <v>31</v>
      </c>
      <c r="M66" s="29">
        <v>0.27200000000000002</v>
      </c>
      <c r="N66" s="18" t="s">
        <v>210</v>
      </c>
      <c r="O66" s="35">
        <f t="shared" si="0"/>
        <v>45902</v>
      </c>
      <c r="P66" s="36">
        <v>46997</v>
      </c>
      <c r="Q66" s="35">
        <v>45791</v>
      </c>
      <c r="R66" s="36">
        <f t="shared" si="1"/>
        <v>46886</v>
      </c>
      <c r="S66" s="3" t="s">
        <v>31</v>
      </c>
      <c r="V66" s="16">
        <f t="shared" si="2"/>
        <v>14846846.846846845</v>
      </c>
      <c r="W66" s="16">
        <v>16480000</v>
      </c>
      <c r="X66" t="s">
        <v>35</v>
      </c>
    </row>
    <row r="67" spans="1:24" ht="14.4" x14ac:dyDescent="0.3">
      <c r="A67" t="s">
        <v>20</v>
      </c>
      <c r="B67" t="s">
        <v>211</v>
      </c>
      <c r="C67" t="s">
        <v>193</v>
      </c>
      <c r="D67" t="s">
        <v>199</v>
      </c>
      <c r="E67" t="s">
        <v>65</v>
      </c>
      <c r="F67" t="s">
        <v>202</v>
      </c>
      <c r="G67" t="s">
        <v>26</v>
      </c>
      <c r="H67" t="s">
        <v>27</v>
      </c>
      <c r="I67" t="s">
        <v>28</v>
      </c>
      <c r="J67" t="s">
        <v>196</v>
      </c>
      <c r="K67" s="31" t="s">
        <v>49</v>
      </c>
      <c r="L67" s="3" t="s">
        <v>31</v>
      </c>
      <c r="M67" s="29">
        <v>0.27110000000000001</v>
      </c>
      <c r="N67" t="s">
        <v>203</v>
      </c>
      <c r="O67" s="35">
        <f t="shared" si="0"/>
        <v>45902</v>
      </c>
      <c r="P67" s="36">
        <v>46997</v>
      </c>
      <c r="Q67" s="35">
        <v>45791</v>
      </c>
      <c r="R67" s="36">
        <f t="shared" si="1"/>
        <v>46886</v>
      </c>
      <c r="S67" s="3" t="s">
        <v>31</v>
      </c>
      <c r="V67" s="16">
        <f t="shared" si="2"/>
        <v>13333333.333333332</v>
      </c>
      <c r="W67" s="16">
        <v>14800000</v>
      </c>
      <c r="X67" t="s">
        <v>35</v>
      </c>
    </row>
    <row r="68" spans="1:24" ht="14.4" x14ac:dyDescent="0.3">
      <c r="A68" t="s">
        <v>20</v>
      </c>
      <c r="B68" t="s">
        <v>212</v>
      </c>
      <c r="C68" t="s">
        <v>193</v>
      </c>
      <c r="D68" t="s">
        <v>199</v>
      </c>
      <c r="E68" t="s">
        <v>65</v>
      </c>
      <c r="F68" t="s">
        <v>205</v>
      </c>
      <c r="G68" t="s">
        <v>26</v>
      </c>
      <c r="H68" t="s">
        <v>27</v>
      </c>
      <c r="I68" t="s">
        <v>28</v>
      </c>
      <c r="J68" t="s">
        <v>196</v>
      </c>
      <c r="K68" s="31" t="s">
        <v>49</v>
      </c>
      <c r="L68" s="3" t="s">
        <v>31</v>
      </c>
      <c r="M68" s="29">
        <v>0.27229999999999999</v>
      </c>
      <c r="N68" s="18" t="s">
        <v>206</v>
      </c>
      <c r="O68" s="35">
        <f t="shared" ref="O68" si="3">P68-1095</f>
        <v>45902</v>
      </c>
      <c r="P68" s="36">
        <v>46997</v>
      </c>
      <c r="Q68" s="35">
        <v>45791</v>
      </c>
      <c r="R68" s="36">
        <f t="shared" ref="R68" si="4">Q68+1095</f>
        <v>46886</v>
      </c>
      <c r="S68" s="3" t="s">
        <v>31</v>
      </c>
      <c r="V68" s="16">
        <f t="shared" si="2"/>
        <v>16144144.144144142</v>
      </c>
      <c r="W68" s="16">
        <v>17920000</v>
      </c>
      <c r="X68" t="s">
        <v>35</v>
      </c>
    </row>
    <row r="69" spans="1:24" ht="14.4" hidden="1" x14ac:dyDescent="0.3">
      <c r="A69" t="s">
        <v>213</v>
      </c>
      <c r="B69" t="s">
        <v>214</v>
      </c>
      <c r="C69" t="s">
        <v>215</v>
      </c>
      <c r="D69" t="s">
        <v>216</v>
      </c>
      <c r="E69" t="s">
        <v>65</v>
      </c>
      <c r="F69" t="s">
        <v>41</v>
      </c>
      <c r="G69" t="s">
        <v>217</v>
      </c>
      <c r="H69" t="s">
        <v>27</v>
      </c>
      <c r="I69" t="s">
        <v>28</v>
      </c>
      <c r="J69" t="s">
        <v>29</v>
      </c>
      <c r="K69" s="13" t="s">
        <v>49</v>
      </c>
      <c r="L69" s="3" t="s">
        <v>31</v>
      </c>
      <c r="M69" s="23"/>
      <c r="P69" s="26"/>
      <c r="Q69" s="3" t="s">
        <v>31</v>
      </c>
      <c r="V69" s="16">
        <f t="shared" si="2"/>
        <v>20315315.315315314</v>
      </c>
      <c r="W69" s="16">
        <v>22550000</v>
      </c>
    </row>
    <row r="70" spans="1:24" ht="14.4" hidden="1" x14ac:dyDescent="0.3">
      <c r="A70" t="s">
        <v>213</v>
      </c>
      <c r="B70" t="s">
        <v>218</v>
      </c>
      <c r="C70" t="s">
        <v>215</v>
      </c>
      <c r="D70" t="s">
        <v>219</v>
      </c>
      <c r="E70" t="s">
        <v>24</v>
      </c>
      <c r="F70" t="s">
        <v>25</v>
      </c>
      <c r="G70" t="s">
        <v>217</v>
      </c>
      <c r="H70" t="s">
        <v>27</v>
      </c>
      <c r="I70" t="s">
        <v>28</v>
      </c>
      <c r="J70" t="s">
        <v>29</v>
      </c>
      <c r="K70" s="13" t="s">
        <v>49</v>
      </c>
      <c r="L70" s="3" t="s">
        <v>31</v>
      </c>
      <c r="M70" s="23"/>
      <c r="P70" s="26"/>
      <c r="Q70" s="3" t="s">
        <v>31</v>
      </c>
      <c r="V70" s="16">
        <f t="shared" si="2"/>
        <v>11306306.306306304</v>
      </c>
      <c r="W70" s="16">
        <v>12550000</v>
      </c>
    </row>
    <row r="71" spans="1:24" ht="14.4" hidden="1" x14ac:dyDescent="0.3">
      <c r="A71" t="s">
        <v>213</v>
      </c>
      <c r="B71" t="s">
        <v>220</v>
      </c>
      <c r="C71" t="s">
        <v>215</v>
      </c>
      <c r="D71" t="s">
        <v>219</v>
      </c>
      <c r="E71" t="s">
        <v>24</v>
      </c>
      <c r="F71" t="s">
        <v>37</v>
      </c>
      <c r="G71" t="s">
        <v>217</v>
      </c>
      <c r="H71" t="s">
        <v>27</v>
      </c>
      <c r="I71" t="s">
        <v>28</v>
      </c>
      <c r="J71" t="s">
        <v>29</v>
      </c>
      <c r="K71" s="13" t="s">
        <v>49</v>
      </c>
      <c r="L71" s="3" t="s">
        <v>31</v>
      </c>
      <c r="M71" s="23"/>
      <c r="P71" s="26"/>
      <c r="Q71" s="3" t="s">
        <v>31</v>
      </c>
      <c r="V71" s="16">
        <f t="shared" si="2"/>
        <v>12999999.999999998</v>
      </c>
      <c r="W71" s="16">
        <v>14430000</v>
      </c>
    </row>
    <row r="72" spans="1:24" ht="14.4" hidden="1" x14ac:dyDescent="0.3">
      <c r="A72" t="s">
        <v>213</v>
      </c>
      <c r="B72" t="s">
        <v>221</v>
      </c>
      <c r="C72" t="s">
        <v>215</v>
      </c>
      <c r="D72" t="s">
        <v>219</v>
      </c>
      <c r="E72" t="s">
        <v>24</v>
      </c>
      <c r="F72" t="s">
        <v>41</v>
      </c>
      <c r="G72" t="s">
        <v>217</v>
      </c>
      <c r="H72" t="s">
        <v>27</v>
      </c>
      <c r="I72" t="s">
        <v>28</v>
      </c>
      <c r="J72" t="s">
        <v>29</v>
      </c>
      <c r="K72" s="13" t="s">
        <v>49</v>
      </c>
      <c r="L72" s="3" t="s">
        <v>31</v>
      </c>
      <c r="M72" s="23"/>
      <c r="P72" s="26"/>
      <c r="Q72" s="3" t="s">
        <v>31</v>
      </c>
      <c r="V72" s="16">
        <f t="shared" si="2"/>
        <v>16486486.486486485</v>
      </c>
      <c r="W72" s="16">
        <v>18300000</v>
      </c>
    </row>
    <row r="73" spans="1:24" ht="14.4" hidden="1" x14ac:dyDescent="0.3">
      <c r="A73" t="s">
        <v>213</v>
      </c>
      <c r="B73" t="s">
        <v>222</v>
      </c>
      <c r="C73" t="s">
        <v>215</v>
      </c>
      <c r="D73" t="s">
        <v>83</v>
      </c>
      <c r="E73" t="s">
        <v>24</v>
      </c>
      <c r="F73" t="s">
        <v>84</v>
      </c>
      <c r="G73" t="s">
        <v>217</v>
      </c>
      <c r="H73" t="s">
        <v>27</v>
      </c>
      <c r="I73" t="s">
        <v>85</v>
      </c>
      <c r="J73" t="s">
        <v>29</v>
      </c>
      <c r="K73" s="13" t="s">
        <v>49</v>
      </c>
      <c r="L73" s="3" t="s">
        <v>31</v>
      </c>
      <c r="M73" s="23"/>
      <c r="P73" s="26"/>
      <c r="Q73" s="3" t="s">
        <v>31</v>
      </c>
      <c r="V73" s="16">
        <f t="shared" si="2"/>
        <v>13027027.027027026</v>
      </c>
      <c r="W73" s="16">
        <v>14460000</v>
      </c>
    </row>
    <row r="74" spans="1:24" ht="14.4" hidden="1" x14ac:dyDescent="0.3">
      <c r="A74" t="s">
        <v>213</v>
      </c>
      <c r="B74" t="s">
        <v>223</v>
      </c>
      <c r="C74" t="s">
        <v>215</v>
      </c>
      <c r="D74" t="s">
        <v>83</v>
      </c>
      <c r="E74" t="s">
        <v>24</v>
      </c>
      <c r="F74" t="s">
        <v>224</v>
      </c>
      <c r="G74" t="s">
        <v>217</v>
      </c>
      <c r="H74" t="s">
        <v>27</v>
      </c>
      <c r="I74" t="s">
        <v>85</v>
      </c>
      <c r="J74" t="s">
        <v>29</v>
      </c>
      <c r="K74" s="13" t="s">
        <v>49</v>
      </c>
      <c r="L74" s="3" t="s">
        <v>31</v>
      </c>
      <c r="M74" s="23"/>
      <c r="P74" s="26"/>
      <c r="Q74" s="3" t="s">
        <v>31</v>
      </c>
      <c r="V74" s="16">
        <f t="shared" si="2"/>
        <v>13558558.558558557</v>
      </c>
      <c r="W74" s="16">
        <v>15050000</v>
      </c>
    </row>
    <row r="75" spans="1:24" ht="14.4" hidden="1" x14ac:dyDescent="0.3">
      <c r="A75" t="s">
        <v>213</v>
      </c>
      <c r="B75" t="s">
        <v>225</v>
      </c>
      <c r="C75" t="s">
        <v>215</v>
      </c>
      <c r="D75" t="s">
        <v>87</v>
      </c>
      <c r="E75" t="s">
        <v>65</v>
      </c>
      <c r="F75" t="s">
        <v>37</v>
      </c>
      <c r="G75" t="s">
        <v>226</v>
      </c>
      <c r="H75" t="s">
        <v>27</v>
      </c>
      <c r="I75" t="s">
        <v>28</v>
      </c>
      <c r="J75" t="s">
        <v>29</v>
      </c>
      <c r="K75" s="13" t="s">
        <v>49</v>
      </c>
      <c r="L75" s="3" t="s">
        <v>31</v>
      </c>
      <c r="M75" s="23"/>
      <c r="P75" s="26"/>
      <c r="Q75" s="3" t="s">
        <v>31</v>
      </c>
      <c r="V75" s="16">
        <f t="shared" ref="V75:V136" si="5">W75/1.11</f>
        <v>14621621.62162162</v>
      </c>
      <c r="W75" s="16">
        <v>16230000</v>
      </c>
    </row>
    <row r="76" spans="1:24" ht="14.4" hidden="1" x14ac:dyDescent="0.3">
      <c r="A76" t="s">
        <v>213</v>
      </c>
      <c r="B76" t="s">
        <v>227</v>
      </c>
      <c r="C76" t="s">
        <v>215</v>
      </c>
      <c r="D76" t="s">
        <v>228</v>
      </c>
      <c r="E76" t="s">
        <v>24</v>
      </c>
      <c r="F76" t="s">
        <v>25</v>
      </c>
      <c r="G76" t="s">
        <v>226</v>
      </c>
      <c r="H76" t="s">
        <v>27</v>
      </c>
      <c r="I76" t="s">
        <v>28</v>
      </c>
      <c r="J76" t="s">
        <v>29</v>
      </c>
      <c r="K76" s="13" t="s">
        <v>49</v>
      </c>
      <c r="L76" s="3" t="s">
        <v>31</v>
      </c>
      <c r="M76" s="23"/>
      <c r="P76" s="26"/>
      <c r="Q76" s="3" t="s">
        <v>31</v>
      </c>
      <c r="V76" s="16">
        <f t="shared" si="5"/>
        <v>14531531.53153153</v>
      </c>
      <c r="W76" s="16">
        <v>16130000</v>
      </c>
    </row>
    <row r="77" spans="1:24" ht="14.4" hidden="1" x14ac:dyDescent="0.3">
      <c r="A77" t="s">
        <v>213</v>
      </c>
      <c r="B77" t="s">
        <v>229</v>
      </c>
      <c r="C77" t="s">
        <v>215</v>
      </c>
      <c r="D77" t="s">
        <v>228</v>
      </c>
      <c r="E77" t="s">
        <v>24</v>
      </c>
      <c r="F77" t="s">
        <v>37</v>
      </c>
      <c r="G77" t="s">
        <v>226</v>
      </c>
      <c r="H77" t="s">
        <v>27</v>
      </c>
      <c r="I77" t="s">
        <v>28</v>
      </c>
      <c r="J77" t="s">
        <v>29</v>
      </c>
      <c r="K77" s="13" t="s">
        <v>49</v>
      </c>
      <c r="L77" s="3" t="s">
        <v>31</v>
      </c>
      <c r="M77" s="23"/>
      <c r="P77" s="26"/>
      <c r="Q77" s="3" t="s">
        <v>31</v>
      </c>
      <c r="V77" s="16">
        <f t="shared" si="5"/>
        <v>17000000</v>
      </c>
      <c r="W77" s="16">
        <v>18870000</v>
      </c>
    </row>
    <row r="78" spans="1:24" ht="14.4" hidden="1" x14ac:dyDescent="0.3">
      <c r="A78" t="s">
        <v>213</v>
      </c>
      <c r="B78" t="s">
        <v>230</v>
      </c>
      <c r="C78" t="s">
        <v>215</v>
      </c>
      <c r="D78" t="s">
        <v>228</v>
      </c>
      <c r="E78" t="s">
        <v>65</v>
      </c>
      <c r="F78" t="s">
        <v>37</v>
      </c>
      <c r="G78" t="s">
        <v>226</v>
      </c>
      <c r="H78" t="s">
        <v>27</v>
      </c>
      <c r="I78" t="s">
        <v>28</v>
      </c>
      <c r="J78" t="s">
        <v>29</v>
      </c>
      <c r="K78" s="13" t="s">
        <v>49</v>
      </c>
      <c r="L78" s="3" t="s">
        <v>31</v>
      </c>
      <c r="M78" s="23"/>
      <c r="P78" s="26"/>
      <c r="Q78" s="3" t="s">
        <v>31</v>
      </c>
      <c r="V78" s="16">
        <f t="shared" si="5"/>
        <v>9603603.6036036033</v>
      </c>
      <c r="W78" s="16">
        <v>10660000</v>
      </c>
    </row>
    <row r="79" spans="1:24" ht="14.4" hidden="1" x14ac:dyDescent="0.3">
      <c r="A79" t="s">
        <v>213</v>
      </c>
      <c r="B79" t="s">
        <v>231</v>
      </c>
      <c r="C79" t="s">
        <v>215</v>
      </c>
      <c r="D79" t="s">
        <v>228</v>
      </c>
      <c r="E79" t="s">
        <v>65</v>
      </c>
      <c r="F79" t="s">
        <v>41</v>
      </c>
      <c r="G79" t="s">
        <v>226</v>
      </c>
      <c r="H79" t="s">
        <v>27</v>
      </c>
      <c r="I79" t="s">
        <v>28</v>
      </c>
      <c r="J79" t="s">
        <v>29</v>
      </c>
      <c r="K79" s="13" t="s">
        <v>49</v>
      </c>
      <c r="L79" s="3" t="s">
        <v>31</v>
      </c>
      <c r="M79" s="23"/>
      <c r="P79" s="26"/>
      <c r="Q79" s="3" t="s">
        <v>31</v>
      </c>
      <c r="V79" s="16">
        <f t="shared" si="5"/>
        <v>21675675.675675675</v>
      </c>
      <c r="W79" s="16">
        <v>24060000</v>
      </c>
    </row>
    <row r="80" spans="1:24" ht="14.4" hidden="1" x14ac:dyDescent="0.3">
      <c r="A80" t="s">
        <v>213</v>
      </c>
      <c r="B80" t="s">
        <v>232</v>
      </c>
      <c r="C80" t="s">
        <v>215</v>
      </c>
      <c r="D80" t="s">
        <v>233</v>
      </c>
      <c r="E80" t="s">
        <v>24</v>
      </c>
      <c r="F80" t="s">
        <v>25</v>
      </c>
      <c r="G80" t="s">
        <v>226</v>
      </c>
      <c r="H80" t="s">
        <v>27</v>
      </c>
      <c r="I80" t="s">
        <v>28</v>
      </c>
      <c r="J80" t="s">
        <v>29</v>
      </c>
      <c r="K80" s="13" t="s">
        <v>49</v>
      </c>
      <c r="L80" s="3" t="s">
        <v>31</v>
      </c>
      <c r="M80" s="23"/>
      <c r="P80" s="26"/>
      <c r="Q80" s="3" t="s">
        <v>31</v>
      </c>
      <c r="V80" s="16">
        <f t="shared" si="5"/>
        <v>17504504.504504502</v>
      </c>
      <c r="W80" s="16">
        <v>19430000</v>
      </c>
    </row>
    <row r="81" spans="1:23" ht="14.4" hidden="1" x14ac:dyDescent="0.3">
      <c r="A81" t="s">
        <v>213</v>
      </c>
      <c r="B81" t="s">
        <v>234</v>
      </c>
      <c r="C81" t="s">
        <v>215</v>
      </c>
      <c r="D81" t="s">
        <v>233</v>
      </c>
      <c r="E81" t="s">
        <v>24</v>
      </c>
      <c r="F81" t="s">
        <v>37</v>
      </c>
      <c r="G81" t="s">
        <v>226</v>
      </c>
      <c r="H81" t="s">
        <v>27</v>
      </c>
      <c r="I81" t="s">
        <v>28</v>
      </c>
      <c r="J81" t="s">
        <v>29</v>
      </c>
      <c r="K81" s="13" t="s">
        <v>49</v>
      </c>
      <c r="L81" s="3" t="s">
        <v>31</v>
      </c>
      <c r="M81" s="23"/>
      <c r="P81" s="26"/>
      <c r="Q81" s="3" t="s">
        <v>31</v>
      </c>
      <c r="V81" s="16">
        <f t="shared" si="5"/>
        <v>20144144.144144144</v>
      </c>
      <c r="W81" s="16">
        <v>22360000</v>
      </c>
    </row>
    <row r="82" spans="1:23" ht="14.4" hidden="1" x14ac:dyDescent="0.3">
      <c r="A82" t="s">
        <v>213</v>
      </c>
      <c r="B82" t="s">
        <v>235</v>
      </c>
      <c r="C82" t="s">
        <v>215</v>
      </c>
      <c r="D82" t="s">
        <v>233</v>
      </c>
      <c r="E82" t="s">
        <v>65</v>
      </c>
      <c r="F82" t="s">
        <v>37</v>
      </c>
      <c r="G82" t="s">
        <v>226</v>
      </c>
      <c r="H82" t="s">
        <v>27</v>
      </c>
      <c r="I82" t="s">
        <v>28</v>
      </c>
      <c r="J82" t="s">
        <v>29</v>
      </c>
      <c r="K82" s="13" t="s">
        <v>49</v>
      </c>
      <c r="L82" s="3" t="s">
        <v>31</v>
      </c>
      <c r="M82" s="23"/>
      <c r="P82" s="26"/>
      <c r="Q82" s="3" t="s">
        <v>31</v>
      </c>
      <c r="V82" s="16">
        <f t="shared" si="5"/>
        <v>21585585.585585583</v>
      </c>
      <c r="W82" s="16">
        <v>23960000</v>
      </c>
    </row>
    <row r="83" spans="1:23" ht="14.4" hidden="1" x14ac:dyDescent="0.3">
      <c r="A83" t="s">
        <v>213</v>
      </c>
      <c r="B83" t="s">
        <v>236</v>
      </c>
      <c r="C83" t="s">
        <v>215</v>
      </c>
      <c r="D83" t="s">
        <v>233</v>
      </c>
      <c r="E83" t="s">
        <v>65</v>
      </c>
      <c r="F83" t="s">
        <v>41</v>
      </c>
      <c r="G83" t="s">
        <v>226</v>
      </c>
      <c r="H83" t="s">
        <v>27</v>
      </c>
      <c r="I83" t="s">
        <v>28</v>
      </c>
      <c r="J83" t="s">
        <v>29</v>
      </c>
      <c r="K83" s="13" t="s">
        <v>49</v>
      </c>
      <c r="L83" s="3" t="s">
        <v>31</v>
      </c>
      <c r="M83" s="23"/>
      <c r="P83" s="26"/>
      <c r="Q83" s="3" t="s">
        <v>31</v>
      </c>
      <c r="V83" s="16">
        <f t="shared" si="5"/>
        <v>24900900.9009009</v>
      </c>
      <c r="W83" s="16">
        <v>27640000</v>
      </c>
    </row>
    <row r="84" spans="1:23" ht="14.4" hidden="1" x14ac:dyDescent="0.3">
      <c r="A84" t="s">
        <v>213</v>
      </c>
      <c r="B84" t="s">
        <v>237</v>
      </c>
      <c r="C84" t="s">
        <v>215</v>
      </c>
      <c r="D84" t="s">
        <v>128</v>
      </c>
      <c r="E84" t="s">
        <v>24</v>
      </c>
      <c r="F84" t="s">
        <v>25</v>
      </c>
      <c r="G84" t="s">
        <v>226</v>
      </c>
      <c r="H84" t="s">
        <v>27</v>
      </c>
      <c r="I84" t="s">
        <v>48</v>
      </c>
      <c r="J84" t="s">
        <v>29</v>
      </c>
      <c r="K84" s="13" t="s">
        <v>49</v>
      </c>
      <c r="L84" s="3" t="s">
        <v>31</v>
      </c>
      <c r="M84" s="23"/>
      <c r="P84" s="26"/>
      <c r="Q84" s="3" t="s">
        <v>31</v>
      </c>
      <c r="V84" s="16">
        <f t="shared" si="5"/>
        <v>18612612.612612613</v>
      </c>
      <c r="W84" s="16">
        <v>20660000</v>
      </c>
    </row>
    <row r="85" spans="1:23" ht="14.4" hidden="1" x14ac:dyDescent="0.3">
      <c r="A85" t="s">
        <v>213</v>
      </c>
      <c r="B85" t="s">
        <v>238</v>
      </c>
      <c r="C85" t="s">
        <v>215</v>
      </c>
      <c r="D85" t="s">
        <v>128</v>
      </c>
      <c r="E85" t="s">
        <v>24</v>
      </c>
      <c r="F85" t="s">
        <v>37</v>
      </c>
      <c r="G85" t="s">
        <v>226</v>
      </c>
      <c r="H85" t="s">
        <v>27</v>
      </c>
      <c r="I85" t="s">
        <v>48</v>
      </c>
      <c r="J85" t="s">
        <v>29</v>
      </c>
      <c r="K85" s="13" t="s">
        <v>49</v>
      </c>
      <c r="L85" s="3" t="s">
        <v>31</v>
      </c>
      <c r="M85" s="23"/>
      <c r="P85" s="26"/>
      <c r="Q85" s="3" t="s">
        <v>31</v>
      </c>
      <c r="V85" s="16">
        <f t="shared" si="5"/>
        <v>19891891.891891889</v>
      </c>
      <c r="W85" s="16">
        <v>22080000</v>
      </c>
    </row>
    <row r="86" spans="1:23" ht="14.4" hidden="1" x14ac:dyDescent="0.3">
      <c r="A86" t="s">
        <v>213</v>
      </c>
      <c r="B86" t="s">
        <v>239</v>
      </c>
      <c r="C86" t="s">
        <v>215</v>
      </c>
      <c r="D86" t="s">
        <v>128</v>
      </c>
      <c r="E86" t="s">
        <v>65</v>
      </c>
      <c r="F86" t="s">
        <v>41</v>
      </c>
      <c r="G86" t="s">
        <v>226</v>
      </c>
      <c r="H86" t="s">
        <v>27</v>
      </c>
      <c r="I86" t="s">
        <v>48</v>
      </c>
      <c r="J86" t="s">
        <v>29</v>
      </c>
      <c r="K86" s="13" t="s">
        <v>49</v>
      </c>
      <c r="L86" s="3" t="s">
        <v>31</v>
      </c>
      <c r="M86" s="23"/>
      <c r="P86" s="26"/>
      <c r="Q86" s="3" t="s">
        <v>31</v>
      </c>
      <c r="V86" s="16">
        <f t="shared" si="5"/>
        <v>21675675.675675675</v>
      </c>
      <c r="W86" s="16">
        <v>24060000</v>
      </c>
    </row>
    <row r="87" spans="1:23" ht="14.4" hidden="1" x14ac:dyDescent="0.3">
      <c r="A87" t="s">
        <v>213</v>
      </c>
      <c r="B87" t="s">
        <v>240</v>
      </c>
      <c r="C87" t="s">
        <v>215</v>
      </c>
      <c r="D87" t="s">
        <v>130</v>
      </c>
      <c r="E87" t="s">
        <v>65</v>
      </c>
      <c r="F87" t="s">
        <v>41</v>
      </c>
      <c r="G87" t="s">
        <v>226</v>
      </c>
      <c r="H87" t="s">
        <v>27</v>
      </c>
      <c r="I87" t="s">
        <v>48</v>
      </c>
      <c r="J87" t="s">
        <v>29</v>
      </c>
      <c r="K87" s="13" t="s">
        <v>49</v>
      </c>
      <c r="L87" s="3" t="s">
        <v>31</v>
      </c>
      <c r="M87" s="23"/>
      <c r="P87" s="26"/>
      <c r="Q87" s="3" t="s">
        <v>31</v>
      </c>
      <c r="V87" s="16">
        <f t="shared" si="5"/>
        <v>24558558.558558557</v>
      </c>
      <c r="W87" s="16">
        <v>27260000</v>
      </c>
    </row>
    <row r="88" spans="1:23" ht="14.4" hidden="1" x14ac:dyDescent="0.3">
      <c r="A88" t="s">
        <v>213</v>
      </c>
      <c r="B88" t="s">
        <v>241</v>
      </c>
      <c r="C88" t="s">
        <v>215</v>
      </c>
      <c r="D88" t="s">
        <v>242</v>
      </c>
      <c r="E88" t="s">
        <v>24</v>
      </c>
      <c r="F88" t="s">
        <v>37</v>
      </c>
      <c r="G88" t="s">
        <v>226</v>
      </c>
      <c r="H88" t="s">
        <v>27</v>
      </c>
      <c r="I88" t="s">
        <v>28</v>
      </c>
      <c r="J88" t="s">
        <v>29</v>
      </c>
      <c r="K88" s="13" t="s">
        <v>49</v>
      </c>
      <c r="L88" s="3" t="s">
        <v>31</v>
      </c>
      <c r="M88" s="23"/>
      <c r="P88" s="26"/>
      <c r="Q88" s="3" t="s">
        <v>31</v>
      </c>
      <c r="V88" s="16">
        <f t="shared" si="5"/>
        <v>20909909.909909908</v>
      </c>
      <c r="W88" s="16">
        <v>23210000</v>
      </c>
    </row>
    <row r="89" spans="1:23" ht="14.4" hidden="1" x14ac:dyDescent="0.3">
      <c r="A89" t="s">
        <v>213</v>
      </c>
      <c r="B89" t="s">
        <v>243</v>
      </c>
      <c r="C89" t="s">
        <v>215</v>
      </c>
      <c r="D89" t="s">
        <v>242</v>
      </c>
      <c r="E89" t="s">
        <v>24</v>
      </c>
      <c r="F89" t="s">
        <v>41</v>
      </c>
      <c r="G89" t="s">
        <v>226</v>
      </c>
      <c r="H89" t="s">
        <v>27</v>
      </c>
      <c r="I89" t="s">
        <v>28</v>
      </c>
      <c r="J89" t="s">
        <v>29</v>
      </c>
      <c r="K89" s="13" t="s">
        <v>49</v>
      </c>
      <c r="L89" s="3" t="s">
        <v>31</v>
      </c>
      <c r="M89" s="23"/>
      <c r="P89" s="26"/>
      <c r="Q89" s="3" t="s">
        <v>31</v>
      </c>
      <c r="V89" s="16">
        <f t="shared" si="5"/>
        <v>23801801.801801801</v>
      </c>
      <c r="W89" s="16">
        <v>26420000</v>
      </c>
    </row>
    <row r="90" spans="1:23" ht="14.4" hidden="1" x14ac:dyDescent="0.3">
      <c r="A90" t="s">
        <v>213</v>
      </c>
      <c r="B90" t="s">
        <v>244</v>
      </c>
      <c r="C90" t="s">
        <v>215</v>
      </c>
      <c r="D90" t="s">
        <v>245</v>
      </c>
      <c r="E90" t="s">
        <v>24</v>
      </c>
      <c r="F90" t="s">
        <v>37</v>
      </c>
      <c r="G90" t="s">
        <v>226</v>
      </c>
      <c r="H90" t="s">
        <v>27</v>
      </c>
      <c r="I90" t="s">
        <v>28</v>
      </c>
      <c r="J90" t="s">
        <v>29</v>
      </c>
      <c r="K90" s="13" t="s">
        <v>49</v>
      </c>
      <c r="L90" s="3" t="s">
        <v>31</v>
      </c>
      <c r="M90" s="23"/>
      <c r="P90" s="26"/>
      <c r="Q90" s="3" t="s">
        <v>31</v>
      </c>
      <c r="V90" s="16">
        <f t="shared" si="5"/>
        <v>22441441.441441439</v>
      </c>
      <c r="W90" s="16">
        <v>24910000</v>
      </c>
    </row>
    <row r="91" spans="1:23" ht="14.4" hidden="1" x14ac:dyDescent="0.3">
      <c r="A91" t="s">
        <v>213</v>
      </c>
      <c r="B91" t="s">
        <v>246</v>
      </c>
      <c r="C91" t="s">
        <v>215</v>
      </c>
      <c r="D91" t="s">
        <v>245</v>
      </c>
      <c r="E91" t="s">
        <v>24</v>
      </c>
      <c r="F91" t="s">
        <v>41</v>
      </c>
      <c r="G91" t="s">
        <v>226</v>
      </c>
      <c r="H91" t="s">
        <v>27</v>
      </c>
      <c r="I91" t="s">
        <v>28</v>
      </c>
      <c r="J91" t="s">
        <v>29</v>
      </c>
      <c r="K91" s="13" t="s">
        <v>49</v>
      </c>
      <c r="L91" s="3" t="s">
        <v>31</v>
      </c>
      <c r="M91" s="23"/>
      <c r="P91" s="26"/>
      <c r="Q91" s="3" t="s">
        <v>31</v>
      </c>
      <c r="V91" s="16">
        <f t="shared" si="5"/>
        <v>25495495.495495494</v>
      </c>
      <c r="W91" s="16">
        <v>28300000</v>
      </c>
    </row>
    <row r="92" spans="1:23" ht="14.4" hidden="1" x14ac:dyDescent="0.3">
      <c r="A92" t="s">
        <v>213</v>
      </c>
      <c r="B92" t="s">
        <v>247</v>
      </c>
      <c r="C92" t="s">
        <v>215</v>
      </c>
      <c r="D92" t="s">
        <v>245</v>
      </c>
      <c r="E92" t="s">
        <v>65</v>
      </c>
      <c r="F92" t="s">
        <v>41</v>
      </c>
      <c r="G92" t="s">
        <v>226</v>
      </c>
      <c r="H92" t="s">
        <v>27</v>
      </c>
      <c r="I92" t="s">
        <v>28</v>
      </c>
      <c r="J92" t="s">
        <v>29</v>
      </c>
      <c r="K92" s="13" t="s">
        <v>49</v>
      </c>
      <c r="L92" s="3" t="s">
        <v>31</v>
      </c>
      <c r="M92" s="23"/>
      <c r="P92" s="26"/>
      <c r="Q92" s="3" t="s">
        <v>31</v>
      </c>
      <c r="V92" s="16">
        <f t="shared" si="5"/>
        <v>27108108.108108107</v>
      </c>
      <c r="W92" s="16">
        <v>30090000</v>
      </c>
    </row>
    <row r="93" spans="1:23" ht="14.4" hidden="1" x14ac:dyDescent="0.3">
      <c r="A93" t="s">
        <v>213</v>
      </c>
      <c r="B93" t="s">
        <v>248</v>
      </c>
      <c r="C93" t="s">
        <v>215</v>
      </c>
      <c r="D93" t="s">
        <v>249</v>
      </c>
      <c r="E93" t="s">
        <v>65</v>
      </c>
      <c r="F93" t="s">
        <v>41</v>
      </c>
      <c r="G93" t="s">
        <v>226</v>
      </c>
      <c r="H93" t="s">
        <v>250</v>
      </c>
      <c r="I93" t="s">
        <v>28</v>
      </c>
      <c r="J93" t="s">
        <v>29</v>
      </c>
      <c r="K93" s="13" t="s">
        <v>49</v>
      </c>
      <c r="L93" s="3" t="s">
        <v>31</v>
      </c>
      <c r="M93" s="23"/>
      <c r="P93" s="26"/>
      <c r="Q93" s="3" t="s">
        <v>31</v>
      </c>
      <c r="V93" s="16">
        <f t="shared" si="5"/>
        <v>31450450.450450446</v>
      </c>
      <c r="W93" s="16">
        <v>34910000</v>
      </c>
    </row>
    <row r="94" spans="1:23" ht="14.4" hidden="1" x14ac:dyDescent="0.3">
      <c r="A94" t="s">
        <v>213</v>
      </c>
      <c r="B94" t="s">
        <v>251</v>
      </c>
      <c r="C94" t="s">
        <v>215</v>
      </c>
      <c r="D94" t="s">
        <v>249</v>
      </c>
      <c r="E94" t="s">
        <v>65</v>
      </c>
      <c r="F94" t="s">
        <v>41</v>
      </c>
      <c r="G94" t="s">
        <v>226</v>
      </c>
      <c r="H94" t="s">
        <v>252</v>
      </c>
      <c r="I94" t="s">
        <v>28</v>
      </c>
      <c r="J94" t="s">
        <v>29</v>
      </c>
      <c r="K94" s="13" t="s">
        <v>49</v>
      </c>
      <c r="L94" s="3" t="s">
        <v>31</v>
      </c>
      <c r="M94" s="23"/>
      <c r="P94" s="26"/>
      <c r="Q94" s="3" t="s">
        <v>31</v>
      </c>
      <c r="V94" s="16">
        <f t="shared" si="5"/>
        <v>32297297.297297295</v>
      </c>
      <c r="W94" s="16">
        <v>35850000</v>
      </c>
    </row>
    <row r="95" spans="1:23" ht="14.4" hidden="1" x14ac:dyDescent="0.3">
      <c r="A95" t="s">
        <v>213</v>
      </c>
      <c r="B95" t="s">
        <v>253</v>
      </c>
      <c r="C95" t="s">
        <v>215</v>
      </c>
      <c r="D95" t="s">
        <v>249</v>
      </c>
      <c r="E95" t="s">
        <v>173</v>
      </c>
      <c r="F95" t="s">
        <v>41</v>
      </c>
      <c r="G95" t="s">
        <v>226</v>
      </c>
      <c r="H95" t="s">
        <v>252</v>
      </c>
      <c r="I95" t="s">
        <v>28</v>
      </c>
      <c r="J95" t="s">
        <v>29</v>
      </c>
      <c r="K95" s="13" t="s">
        <v>49</v>
      </c>
      <c r="L95" s="3" t="s">
        <v>31</v>
      </c>
      <c r="M95" s="23"/>
      <c r="P95" s="26"/>
      <c r="Q95" s="3" t="s">
        <v>31</v>
      </c>
      <c r="V95" s="16">
        <f t="shared" si="5"/>
        <v>33909909.909909904</v>
      </c>
      <c r="W95" s="16">
        <v>37640000</v>
      </c>
    </row>
    <row r="96" spans="1:23" ht="14.4" hidden="1" x14ac:dyDescent="0.3">
      <c r="A96" t="s">
        <v>213</v>
      </c>
      <c r="B96" t="s">
        <v>254</v>
      </c>
      <c r="C96" t="s">
        <v>215</v>
      </c>
      <c r="D96" t="s">
        <v>142</v>
      </c>
      <c r="E96" t="s">
        <v>65</v>
      </c>
      <c r="F96" t="s">
        <v>41</v>
      </c>
      <c r="G96" t="s">
        <v>255</v>
      </c>
      <c r="H96" t="s">
        <v>27</v>
      </c>
      <c r="I96" t="s">
        <v>28</v>
      </c>
      <c r="J96" t="s">
        <v>29</v>
      </c>
      <c r="K96" s="13" t="s">
        <v>49</v>
      </c>
      <c r="L96" s="3" t="s">
        <v>31</v>
      </c>
      <c r="M96" s="23"/>
      <c r="P96" s="26"/>
      <c r="Q96" s="3" t="s">
        <v>31</v>
      </c>
      <c r="V96" s="16">
        <f t="shared" si="5"/>
        <v>30513513.513513509</v>
      </c>
      <c r="W96" s="16">
        <v>33870000</v>
      </c>
    </row>
    <row r="97" spans="1:24" ht="14.4" hidden="1" x14ac:dyDescent="0.3">
      <c r="A97" t="s">
        <v>213</v>
      </c>
      <c r="B97" t="s">
        <v>256</v>
      </c>
      <c r="C97" t="s">
        <v>215</v>
      </c>
      <c r="D97" t="s">
        <v>142</v>
      </c>
      <c r="E97" t="s">
        <v>173</v>
      </c>
      <c r="F97" t="s">
        <v>41</v>
      </c>
      <c r="G97" t="s">
        <v>255</v>
      </c>
      <c r="H97" t="s">
        <v>27</v>
      </c>
      <c r="I97" t="s">
        <v>28</v>
      </c>
      <c r="J97" t="s">
        <v>29</v>
      </c>
      <c r="K97" s="13" t="s">
        <v>49</v>
      </c>
      <c r="L97" s="3" t="s">
        <v>31</v>
      </c>
      <c r="M97" s="23"/>
      <c r="P97" s="26"/>
      <c r="Q97" s="3" t="s">
        <v>31</v>
      </c>
      <c r="V97" s="16">
        <f t="shared" si="5"/>
        <v>33567567.567567565</v>
      </c>
      <c r="W97" s="17">
        <v>37260000</v>
      </c>
    </row>
    <row r="98" spans="1:24" ht="14.4" hidden="1" x14ac:dyDescent="0.3">
      <c r="A98" t="s">
        <v>213</v>
      </c>
      <c r="B98" t="s">
        <v>257</v>
      </c>
      <c r="C98" t="s">
        <v>215</v>
      </c>
      <c r="D98" t="s">
        <v>242</v>
      </c>
      <c r="E98" t="s">
        <v>24</v>
      </c>
      <c r="F98" t="s">
        <v>37</v>
      </c>
      <c r="G98" t="s">
        <v>258</v>
      </c>
      <c r="H98" t="s">
        <v>27</v>
      </c>
      <c r="I98" t="s">
        <v>28</v>
      </c>
      <c r="J98" t="s">
        <v>29</v>
      </c>
      <c r="K98" s="13" t="s">
        <v>49</v>
      </c>
      <c r="L98" s="3" t="s">
        <v>31</v>
      </c>
      <c r="M98" s="23"/>
      <c r="P98" s="26"/>
      <c r="Q98" s="3" t="s">
        <v>31</v>
      </c>
      <c r="V98" s="16">
        <f t="shared" si="5"/>
        <v>24990990.990990989</v>
      </c>
      <c r="W98" s="17">
        <v>27740000</v>
      </c>
      <c r="X98" s="11"/>
    </row>
    <row r="99" spans="1:24" ht="14.4" hidden="1" x14ac:dyDescent="0.3">
      <c r="A99" t="s">
        <v>213</v>
      </c>
      <c r="B99" t="s">
        <v>259</v>
      </c>
      <c r="C99" t="s">
        <v>215</v>
      </c>
      <c r="D99" t="s">
        <v>242</v>
      </c>
      <c r="E99" t="s">
        <v>65</v>
      </c>
      <c r="F99" t="s">
        <v>37</v>
      </c>
      <c r="G99" t="s">
        <v>258</v>
      </c>
      <c r="H99" t="s">
        <v>27</v>
      </c>
      <c r="I99" t="s">
        <v>28</v>
      </c>
      <c r="J99" t="s">
        <v>29</v>
      </c>
      <c r="K99" s="13" t="s">
        <v>49</v>
      </c>
      <c r="L99" s="3" t="s">
        <v>31</v>
      </c>
      <c r="M99" s="23"/>
      <c r="P99" s="26"/>
      <c r="Q99" s="3" t="s">
        <v>31</v>
      </c>
      <c r="V99" s="16">
        <f t="shared" si="5"/>
        <v>26603603.603603601</v>
      </c>
      <c r="W99" s="17">
        <v>29530000</v>
      </c>
      <c r="X99" s="11"/>
    </row>
    <row r="100" spans="1:24" ht="14.4" hidden="1" x14ac:dyDescent="0.3">
      <c r="A100" t="s">
        <v>213</v>
      </c>
      <c r="B100" t="s">
        <v>260</v>
      </c>
      <c r="C100" t="s">
        <v>215</v>
      </c>
      <c r="D100" t="s">
        <v>242</v>
      </c>
      <c r="E100" t="s">
        <v>65</v>
      </c>
      <c r="F100" t="s">
        <v>41</v>
      </c>
      <c r="G100" t="s">
        <v>258</v>
      </c>
      <c r="H100" t="s">
        <v>27</v>
      </c>
      <c r="I100" t="s">
        <v>28</v>
      </c>
      <c r="J100" t="s">
        <v>29</v>
      </c>
      <c r="K100" s="13" t="s">
        <v>49</v>
      </c>
      <c r="L100" s="3" t="s">
        <v>31</v>
      </c>
      <c r="M100" s="23"/>
      <c r="P100" s="26"/>
      <c r="Q100" s="3" t="s">
        <v>31</v>
      </c>
      <c r="V100" s="16">
        <f t="shared" si="5"/>
        <v>29657657.657657657</v>
      </c>
      <c r="W100" s="17">
        <v>32920000</v>
      </c>
      <c r="X100" s="11"/>
    </row>
    <row r="101" spans="1:24" ht="14.4" hidden="1" x14ac:dyDescent="0.3">
      <c r="A101" t="s">
        <v>213</v>
      </c>
      <c r="B101" t="s">
        <v>261</v>
      </c>
      <c r="C101" t="s">
        <v>262</v>
      </c>
      <c r="D101" t="s">
        <v>263</v>
      </c>
      <c r="E101" t="s">
        <v>24</v>
      </c>
      <c r="F101" t="s">
        <v>264</v>
      </c>
      <c r="G101" t="s">
        <v>265</v>
      </c>
      <c r="H101" t="s">
        <v>27</v>
      </c>
      <c r="I101" t="s">
        <v>266</v>
      </c>
      <c r="J101" t="s">
        <v>29</v>
      </c>
      <c r="K101" s="13" t="s">
        <v>35</v>
      </c>
      <c r="L101" s="3" t="s">
        <v>31</v>
      </c>
      <c r="M101" s="23"/>
      <c r="P101" s="26"/>
      <c r="Q101" s="3" t="s">
        <v>31</v>
      </c>
      <c r="V101" s="16">
        <f t="shared" si="5"/>
        <v>16774774.774774773</v>
      </c>
      <c r="W101" s="16">
        <v>18620000</v>
      </c>
    </row>
    <row r="102" spans="1:24" ht="14.4" hidden="1" x14ac:dyDescent="0.3">
      <c r="A102" t="s">
        <v>267</v>
      </c>
      <c r="B102" t="s">
        <v>268</v>
      </c>
      <c r="C102" t="s">
        <v>262</v>
      </c>
      <c r="D102" t="s">
        <v>263</v>
      </c>
      <c r="E102" t="s">
        <v>24</v>
      </c>
      <c r="F102" t="s">
        <v>47</v>
      </c>
      <c r="G102" t="s">
        <v>265</v>
      </c>
      <c r="H102" t="s">
        <v>27</v>
      </c>
      <c r="I102" t="s">
        <v>266</v>
      </c>
      <c r="J102" t="s">
        <v>29</v>
      </c>
      <c r="K102" s="13" t="s">
        <v>35</v>
      </c>
      <c r="L102" s="3" t="s">
        <v>31</v>
      </c>
      <c r="M102" s="23"/>
      <c r="P102" s="26"/>
      <c r="Q102" s="3" t="s">
        <v>31</v>
      </c>
      <c r="V102" s="16">
        <f t="shared" si="5"/>
        <v>18000000</v>
      </c>
      <c r="W102" s="16">
        <v>19980000</v>
      </c>
    </row>
    <row r="103" spans="1:24" ht="14.4" hidden="1" x14ac:dyDescent="0.3">
      <c r="A103" t="s">
        <v>267</v>
      </c>
      <c r="B103" t="s">
        <v>269</v>
      </c>
      <c r="C103" t="s">
        <v>262</v>
      </c>
      <c r="D103" t="s">
        <v>263</v>
      </c>
      <c r="E103" t="s">
        <v>24</v>
      </c>
      <c r="F103" t="s">
        <v>154</v>
      </c>
      <c r="G103" t="s">
        <v>265</v>
      </c>
      <c r="H103" t="s">
        <v>27</v>
      </c>
      <c r="I103" t="s">
        <v>266</v>
      </c>
      <c r="J103" t="s">
        <v>29</v>
      </c>
      <c r="K103" s="13" t="s">
        <v>49</v>
      </c>
      <c r="L103" s="3" t="s">
        <v>31</v>
      </c>
      <c r="M103" s="23"/>
      <c r="P103" s="26"/>
      <c r="Q103" s="3" t="s">
        <v>31</v>
      </c>
      <c r="V103" s="16">
        <f t="shared" si="5"/>
        <v>24441441.441441439</v>
      </c>
      <c r="W103" s="16">
        <v>27130000</v>
      </c>
    </row>
    <row r="104" spans="1:24" ht="14.4" hidden="1" x14ac:dyDescent="0.3">
      <c r="A104" t="s">
        <v>267</v>
      </c>
      <c r="B104" t="s">
        <v>270</v>
      </c>
      <c r="C104" t="s">
        <v>262</v>
      </c>
      <c r="D104" t="s">
        <v>263</v>
      </c>
      <c r="E104" t="s">
        <v>65</v>
      </c>
      <c r="F104" t="s">
        <v>271</v>
      </c>
      <c r="G104" t="s">
        <v>265</v>
      </c>
      <c r="H104" t="s">
        <v>27</v>
      </c>
      <c r="I104" t="s">
        <v>266</v>
      </c>
      <c r="J104" t="s">
        <v>29</v>
      </c>
      <c r="K104" s="13" t="s">
        <v>49</v>
      </c>
      <c r="L104" s="3" t="s">
        <v>31</v>
      </c>
      <c r="M104" s="23"/>
      <c r="P104" s="26"/>
      <c r="Q104" s="3" t="s">
        <v>31</v>
      </c>
      <c r="V104" s="16">
        <f t="shared" si="5"/>
        <v>22522522.52252252</v>
      </c>
      <c r="W104" s="16">
        <v>25000000</v>
      </c>
    </row>
    <row r="105" spans="1:24" ht="14.4" hidden="1" x14ac:dyDescent="0.3">
      <c r="A105" t="s">
        <v>267</v>
      </c>
      <c r="B105" t="s">
        <v>272</v>
      </c>
      <c r="C105" t="s">
        <v>262</v>
      </c>
      <c r="D105" t="s">
        <v>263</v>
      </c>
      <c r="E105" t="s">
        <v>24</v>
      </c>
      <c r="F105" t="s">
        <v>273</v>
      </c>
      <c r="G105" t="s">
        <v>265</v>
      </c>
      <c r="H105" t="s">
        <v>27</v>
      </c>
      <c r="I105" t="s">
        <v>266</v>
      </c>
      <c r="J105" t="s">
        <v>29</v>
      </c>
      <c r="K105" s="13" t="s">
        <v>49</v>
      </c>
      <c r="L105" s="3" t="s">
        <v>31</v>
      </c>
      <c r="M105" s="23"/>
      <c r="P105" s="26"/>
      <c r="Q105" s="3" t="s">
        <v>31</v>
      </c>
      <c r="V105" s="16">
        <f t="shared" si="5"/>
        <v>19000000</v>
      </c>
      <c r="W105" s="16">
        <v>21090000</v>
      </c>
    </row>
    <row r="106" spans="1:24" ht="14.4" hidden="1" x14ac:dyDescent="0.3">
      <c r="A106" t="s">
        <v>267</v>
      </c>
      <c r="B106" t="s">
        <v>274</v>
      </c>
      <c r="C106" t="s">
        <v>262</v>
      </c>
      <c r="D106" t="s">
        <v>263</v>
      </c>
      <c r="E106" t="s">
        <v>24</v>
      </c>
      <c r="F106" t="s">
        <v>275</v>
      </c>
      <c r="G106" t="s">
        <v>265</v>
      </c>
      <c r="H106" t="s">
        <v>27</v>
      </c>
      <c r="I106" t="s">
        <v>266</v>
      </c>
      <c r="J106" t="s">
        <v>29</v>
      </c>
      <c r="K106" s="13" t="s">
        <v>49</v>
      </c>
      <c r="L106" s="3" t="s">
        <v>31</v>
      </c>
      <c r="M106" s="23"/>
      <c r="P106" s="26"/>
      <c r="Q106" s="3" t="s">
        <v>31</v>
      </c>
      <c r="V106" s="16">
        <f t="shared" si="5"/>
        <v>20225225.225225225</v>
      </c>
      <c r="W106" s="16">
        <v>22450000</v>
      </c>
    </row>
    <row r="107" spans="1:24" ht="14.4" hidden="1" x14ac:dyDescent="0.3">
      <c r="A107" t="s">
        <v>267</v>
      </c>
      <c r="B107" t="s">
        <v>276</v>
      </c>
      <c r="C107" t="s">
        <v>262</v>
      </c>
      <c r="D107" t="s">
        <v>277</v>
      </c>
      <c r="E107" t="s">
        <v>24</v>
      </c>
      <c r="F107" t="s">
        <v>47</v>
      </c>
      <c r="G107" t="s">
        <v>265</v>
      </c>
      <c r="H107" t="s">
        <v>27</v>
      </c>
      <c r="I107" t="s">
        <v>266</v>
      </c>
      <c r="J107" t="s">
        <v>29</v>
      </c>
      <c r="K107" s="13" t="s">
        <v>49</v>
      </c>
      <c r="L107" s="3" t="s">
        <v>31</v>
      </c>
      <c r="M107" s="23"/>
      <c r="P107" s="26"/>
      <c r="Q107" s="3" t="s">
        <v>31</v>
      </c>
      <c r="V107" s="16">
        <f t="shared" si="5"/>
        <v>19225225.225225225</v>
      </c>
      <c r="W107" s="16">
        <v>21340000</v>
      </c>
    </row>
    <row r="108" spans="1:24" ht="14.4" hidden="1" x14ac:dyDescent="0.3">
      <c r="A108" t="s">
        <v>267</v>
      </c>
      <c r="B108" t="s">
        <v>278</v>
      </c>
      <c r="C108" t="s">
        <v>262</v>
      </c>
      <c r="D108" t="s">
        <v>277</v>
      </c>
      <c r="E108" t="s">
        <v>24</v>
      </c>
      <c r="F108" t="s">
        <v>154</v>
      </c>
      <c r="G108" t="s">
        <v>265</v>
      </c>
      <c r="H108" t="s">
        <v>27</v>
      </c>
      <c r="I108" t="s">
        <v>266</v>
      </c>
      <c r="J108" t="s">
        <v>29</v>
      </c>
      <c r="K108" s="13" t="s">
        <v>49</v>
      </c>
      <c r="L108" s="3" t="s">
        <v>31</v>
      </c>
      <c r="M108" s="23"/>
      <c r="P108" s="26"/>
      <c r="Q108" s="3" t="s">
        <v>31</v>
      </c>
      <c r="V108" s="16">
        <f t="shared" si="5"/>
        <v>25279279.279279277</v>
      </c>
      <c r="W108" s="16">
        <v>28060000</v>
      </c>
    </row>
    <row r="109" spans="1:24" ht="14.4" hidden="1" x14ac:dyDescent="0.3">
      <c r="A109" t="s">
        <v>267</v>
      </c>
      <c r="B109" t="s">
        <v>279</v>
      </c>
      <c r="C109" t="s">
        <v>262</v>
      </c>
      <c r="D109" t="s">
        <v>277</v>
      </c>
      <c r="E109" t="s">
        <v>65</v>
      </c>
      <c r="F109" t="s">
        <v>271</v>
      </c>
      <c r="G109" t="s">
        <v>265</v>
      </c>
      <c r="H109" t="s">
        <v>27</v>
      </c>
      <c r="I109" t="s">
        <v>266</v>
      </c>
      <c r="J109" t="s">
        <v>29</v>
      </c>
      <c r="K109" s="13" t="s">
        <v>49</v>
      </c>
      <c r="L109" s="3" t="s">
        <v>31</v>
      </c>
      <c r="M109" s="23"/>
      <c r="P109" s="26"/>
      <c r="Q109" s="3" t="s">
        <v>31</v>
      </c>
      <c r="V109" s="16">
        <f t="shared" si="5"/>
        <v>21909909.909909908</v>
      </c>
      <c r="W109" s="16">
        <v>24320000</v>
      </c>
    </row>
    <row r="110" spans="1:24" ht="14.4" hidden="1" x14ac:dyDescent="0.3">
      <c r="A110" t="s">
        <v>267</v>
      </c>
      <c r="B110" t="s">
        <v>280</v>
      </c>
      <c r="C110" t="s">
        <v>262</v>
      </c>
      <c r="D110" t="s">
        <v>277</v>
      </c>
      <c r="E110" t="s">
        <v>24</v>
      </c>
      <c r="F110" t="s">
        <v>273</v>
      </c>
      <c r="G110" t="s">
        <v>265</v>
      </c>
      <c r="H110" t="s">
        <v>27</v>
      </c>
      <c r="I110" t="s">
        <v>266</v>
      </c>
      <c r="J110" t="s">
        <v>29</v>
      </c>
      <c r="K110" s="13" t="s">
        <v>35</v>
      </c>
      <c r="L110" s="3" t="s">
        <v>31</v>
      </c>
      <c r="M110" s="23"/>
      <c r="P110" s="26"/>
      <c r="Q110" s="3" t="s">
        <v>31</v>
      </c>
      <c r="V110" s="16">
        <f t="shared" si="5"/>
        <v>17927927.927927926</v>
      </c>
      <c r="W110" s="16">
        <v>19900000</v>
      </c>
    </row>
    <row r="111" spans="1:24" ht="14.4" hidden="1" x14ac:dyDescent="0.3">
      <c r="A111" t="s">
        <v>267</v>
      </c>
      <c r="B111" t="s">
        <v>281</v>
      </c>
      <c r="C111" t="s">
        <v>262</v>
      </c>
      <c r="D111" t="s">
        <v>277</v>
      </c>
      <c r="E111" t="s">
        <v>24</v>
      </c>
      <c r="F111" t="s">
        <v>275</v>
      </c>
      <c r="G111" t="s">
        <v>265</v>
      </c>
      <c r="H111" t="s">
        <v>27</v>
      </c>
      <c r="I111" t="s">
        <v>266</v>
      </c>
      <c r="J111" t="s">
        <v>29</v>
      </c>
      <c r="K111" s="13" t="s">
        <v>35</v>
      </c>
      <c r="L111" s="3" t="s">
        <v>31</v>
      </c>
      <c r="M111" s="23"/>
      <c r="P111" s="26"/>
      <c r="Q111" s="3" t="s">
        <v>31</v>
      </c>
      <c r="V111" s="16">
        <f t="shared" si="5"/>
        <v>19153153.153153151</v>
      </c>
      <c r="W111" s="16">
        <v>21260000</v>
      </c>
    </row>
    <row r="112" spans="1:24" ht="14.4" hidden="1" x14ac:dyDescent="0.3">
      <c r="A112" t="s">
        <v>267</v>
      </c>
      <c r="B112" t="s">
        <v>282</v>
      </c>
      <c r="C112" t="s">
        <v>262</v>
      </c>
      <c r="D112" t="s">
        <v>283</v>
      </c>
      <c r="E112" t="s">
        <v>24</v>
      </c>
      <c r="F112" t="s">
        <v>47</v>
      </c>
      <c r="G112" t="s">
        <v>265</v>
      </c>
      <c r="H112" t="s">
        <v>27</v>
      </c>
      <c r="I112" t="s">
        <v>266</v>
      </c>
      <c r="J112" t="s">
        <v>29</v>
      </c>
      <c r="K112" s="13" t="s">
        <v>35</v>
      </c>
      <c r="L112" s="3" t="s">
        <v>31</v>
      </c>
      <c r="M112" s="23"/>
      <c r="P112" s="26"/>
      <c r="Q112" s="3" t="s">
        <v>31</v>
      </c>
      <c r="V112" s="16">
        <f t="shared" si="5"/>
        <v>19225225.225225225</v>
      </c>
      <c r="W112" s="16">
        <v>21340000</v>
      </c>
    </row>
    <row r="113" spans="1:23" ht="14.4" hidden="1" x14ac:dyDescent="0.3">
      <c r="A113" t="s">
        <v>267</v>
      </c>
      <c r="B113" t="s">
        <v>284</v>
      </c>
      <c r="C113" t="s">
        <v>262</v>
      </c>
      <c r="D113" t="s">
        <v>283</v>
      </c>
      <c r="E113" t="s">
        <v>24</v>
      </c>
      <c r="F113" t="s">
        <v>271</v>
      </c>
      <c r="G113" t="s">
        <v>265</v>
      </c>
      <c r="H113" t="s">
        <v>27</v>
      </c>
      <c r="I113" t="s">
        <v>266</v>
      </c>
      <c r="J113" t="s">
        <v>29</v>
      </c>
      <c r="K113" s="13" t="s">
        <v>49</v>
      </c>
      <c r="L113" s="3" t="s">
        <v>31</v>
      </c>
      <c r="M113" s="23"/>
      <c r="P113" s="26"/>
      <c r="Q113" s="3" t="s">
        <v>31</v>
      </c>
      <c r="V113" s="16">
        <f t="shared" si="5"/>
        <v>22216216.216216214</v>
      </c>
      <c r="W113" s="16">
        <v>24660000</v>
      </c>
    </row>
    <row r="114" spans="1:23" ht="14.4" hidden="1" x14ac:dyDescent="0.3">
      <c r="A114" t="s">
        <v>267</v>
      </c>
      <c r="B114" t="s">
        <v>285</v>
      </c>
      <c r="C114" t="s">
        <v>262</v>
      </c>
      <c r="D114" t="s">
        <v>283</v>
      </c>
      <c r="E114" t="s">
        <v>65</v>
      </c>
      <c r="F114" t="s">
        <v>271</v>
      </c>
      <c r="G114" t="s">
        <v>265</v>
      </c>
      <c r="H114" t="s">
        <v>27</v>
      </c>
      <c r="I114" t="s">
        <v>266</v>
      </c>
      <c r="J114" t="s">
        <v>29</v>
      </c>
      <c r="K114" s="13" t="s">
        <v>35</v>
      </c>
      <c r="L114" s="3" t="s">
        <v>31</v>
      </c>
      <c r="M114" s="23"/>
      <c r="P114" s="26"/>
      <c r="Q114" s="3" t="s">
        <v>31</v>
      </c>
      <c r="V114" s="16">
        <f t="shared" si="5"/>
        <v>23441441.441441439</v>
      </c>
      <c r="W114" s="16">
        <v>26020000</v>
      </c>
    </row>
    <row r="115" spans="1:23" ht="14.4" hidden="1" x14ac:dyDescent="0.3">
      <c r="A115" t="s">
        <v>267</v>
      </c>
      <c r="B115" t="s">
        <v>286</v>
      </c>
      <c r="C115" t="s">
        <v>262</v>
      </c>
      <c r="D115" t="s">
        <v>283</v>
      </c>
      <c r="E115" t="s">
        <v>24</v>
      </c>
      <c r="F115" t="s">
        <v>273</v>
      </c>
      <c r="G115" t="s">
        <v>265</v>
      </c>
      <c r="H115" t="s">
        <v>27</v>
      </c>
      <c r="I115" t="s">
        <v>266</v>
      </c>
      <c r="J115" t="s">
        <v>29</v>
      </c>
      <c r="K115" s="13" t="s">
        <v>35</v>
      </c>
      <c r="L115" s="3" t="s">
        <v>31</v>
      </c>
      <c r="M115" s="23"/>
      <c r="P115" s="26"/>
      <c r="Q115" s="3" t="s">
        <v>31</v>
      </c>
      <c r="V115" s="16">
        <f t="shared" si="5"/>
        <v>19837837.837837838</v>
      </c>
      <c r="W115" s="16">
        <v>22020000</v>
      </c>
    </row>
    <row r="116" spans="1:23" ht="14.4" hidden="1" x14ac:dyDescent="0.3">
      <c r="A116" t="s">
        <v>267</v>
      </c>
      <c r="B116" t="s">
        <v>287</v>
      </c>
      <c r="C116" t="s">
        <v>262</v>
      </c>
      <c r="D116" t="s">
        <v>283</v>
      </c>
      <c r="E116" t="s">
        <v>24</v>
      </c>
      <c r="F116" t="s">
        <v>288</v>
      </c>
      <c r="G116" t="s">
        <v>265</v>
      </c>
      <c r="H116" t="s">
        <v>27</v>
      </c>
      <c r="I116" t="s">
        <v>266</v>
      </c>
      <c r="J116" t="s">
        <v>29</v>
      </c>
      <c r="K116" s="13" t="s">
        <v>35</v>
      </c>
      <c r="L116" s="3" t="s">
        <v>31</v>
      </c>
      <c r="M116" s="23"/>
      <c r="P116" s="26"/>
      <c r="Q116" s="3" t="s">
        <v>31</v>
      </c>
      <c r="V116" s="16">
        <f t="shared" si="5"/>
        <v>20531531.531531531</v>
      </c>
      <c r="W116" s="16">
        <v>22790000</v>
      </c>
    </row>
    <row r="117" spans="1:23" ht="14.4" hidden="1" x14ac:dyDescent="0.3">
      <c r="A117" t="s">
        <v>267</v>
      </c>
      <c r="B117" t="s">
        <v>289</v>
      </c>
      <c r="C117" t="s">
        <v>262</v>
      </c>
      <c r="D117" t="s">
        <v>283</v>
      </c>
      <c r="E117" t="s">
        <v>65</v>
      </c>
      <c r="F117" t="s">
        <v>275</v>
      </c>
      <c r="G117" t="s">
        <v>265</v>
      </c>
      <c r="H117" t="s">
        <v>27</v>
      </c>
      <c r="I117" t="s">
        <v>266</v>
      </c>
      <c r="J117" t="s">
        <v>29</v>
      </c>
      <c r="K117" s="13" t="s">
        <v>35</v>
      </c>
      <c r="L117" s="3" t="s">
        <v>31</v>
      </c>
      <c r="M117" s="23"/>
      <c r="P117" s="26"/>
      <c r="Q117" s="3" t="s">
        <v>31</v>
      </c>
      <c r="V117" s="16">
        <f t="shared" si="5"/>
        <v>22522522.52252252</v>
      </c>
      <c r="W117" s="16">
        <v>25000000</v>
      </c>
    </row>
    <row r="118" spans="1:23" ht="14.4" hidden="1" x14ac:dyDescent="0.3">
      <c r="A118" t="s">
        <v>267</v>
      </c>
      <c r="B118" t="s">
        <v>290</v>
      </c>
      <c r="C118" t="s">
        <v>262</v>
      </c>
      <c r="D118" t="s">
        <v>283</v>
      </c>
      <c r="E118" t="s">
        <v>65</v>
      </c>
      <c r="F118" t="s">
        <v>291</v>
      </c>
      <c r="G118" t="s">
        <v>265</v>
      </c>
      <c r="H118" t="s">
        <v>27</v>
      </c>
      <c r="I118" t="s">
        <v>266</v>
      </c>
      <c r="J118" t="s">
        <v>29</v>
      </c>
      <c r="K118" s="13" t="s">
        <v>49</v>
      </c>
      <c r="L118" s="3" t="s">
        <v>31</v>
      </c>
      <c r="M118" s="23"/>
      <c r="P118" s="26"/>
      <c r="Q118" s="3" t="s">
        <v>31</v>
      </c>
      <c r="V118" s="16">
        <f t="shared" si="5"/>
        <v>23441441.441441439</v>
      </c>
      <c r="W118" s="16">
        <v>26020000</v>
      </c>
    </row>
    <row r="119" spans="1:23" ht="14.4" hidden="1" x14ac:dyDescent="0.3">
      <c r="A119" t="s">
        <v>267</v>
      </c>
      <c r="B119" t="s">
        <v>292</v>
      </c>
      <c r="C119" t="s">
        <v>262</v>
      </c>
      <c r="D119" t="s">
        <v>283</v>
      </c>
      <c r="E119" t="s">
        <v>65</v>
      </c>
      <c r="F119" t="s">
        <v>293</v>
      </c>
      <c r="G119" t="s">
        <v>265</v>
      </c>
      <c r="H119" t="s">
        <v>27</v>
      </c>
      <c r="I119" t="s">
        <v>266</v>
      </c>
      <c r="J119" t="s">
        <v>29</v>
      </c>
      <c r="K119" s="13" t="s">
        <v>49</v>
      </c>
      <c r="L119" s="3" t="s">
        <v>31</v>
      </c>
      <c r="M119" s="23"/>
      <c r="P119" s="26"/>
      <c r="Q119" s="3" t="s">
        <v>31</v>
      </c>
      <c r="V119" s="16">
        <f t="shared" si="5"/>
        <v>26279279.279279277</v>
      </c>
      <c r="W119" s="16">
        <v>29170000</v>
      </c>
    </row>
    <row r="120" spans="1:23" ht="14.4" hidden="1" x14ac:dyDescent="0.3">
      <c r="A120" t="s">
        <v>267</v>
      </c>
      <c r="B120" t="s">
        <v>294</v>
      </c>
      <c r="C120" t="s">
        <v>262</v>
      </c>
      <c r="D120" t="s">
        <v>295</v>
      </c>
      <c r="E120" t="s">
        <v>24</v>
      </c>
      <c r="F120" t="s">
        <v>271</v>
      </c>
      <c r="G120" t="s">
        <v>265</v>
      </c>
      <c r="H120" t="s">
        <v>27</v>
      </c>
      <c r="I120" t="s">
        <v>266</v>
      </c>
      <c r="J120" t="s">
        <v>29</v>
      </c>
      <c r="K120" s="13" t="s">
        <v>35</v>
      </c>
      <c r="L120" s="3" t="s">
        <v>31</v>
      </c>
      <c r="M120" s="23"/>
      <c r="P120" s="26"/>
      <c r="Q120" s="3" t="s">
        <v>31</v>
      </c>
      <c r="V120" s="16">
        <f t="shared" si="5"/>
        <v>23828828.828828827</v>
      </c>
      <c r="W120" s="16">
        <v>26450000</v>
      </c>
    </row>
    <row r="121" spans="1:23" ht="14.4" hidden="1" x14ac:dyDescent="0.3">
      <c r="A121" t="s">
        <v>267</v>
      </c>
      <c r="B121" t="s">
        <v>296</v>
      </c>
      <c r="C121" t="s">
        <v>262</v>
      </c>
      <c r="D121" t="s">
        <v>295</v>
      </c>
      <c r="E121" t="s">
        <v>65</v>
      </c>
      <c r="F121" t="s">
        <v>271</v>
      </c>
      <c r="G121" t="s">
        <v>265</v>
      </c>
      <c r="H121" t="s">
        <v>27</v>
      </c>
      <c r="I121" t="s">
        <v>266</v>
      </c>
      <c r="J121" t="s">
        <v>29</v>
      </c>
      <c r="K121" s="13" t="s">
        <v>49</v>
      </c>
      <c r="L121" s="3" t="s">
        <v>31</v>
      </c>
      <c r="M121" s="23"/>
      <c r="P121" s="26"/>
      <c r="Q121" s="3" t="s">
        <v>31</v>
      </c>
      <c r="V121" s="16">
        <f t="shared" si="5"/>
        <v>25738738.738738738</v>
      </c>
      <c r="W121" s="16">
        <v>28570000</v>
      </c>
    </row>
    <row r="122" spans="1:23" ht="14.4" hidden="1" x14ac:dyDescent="0.3">
      <c r="A122" t="s">
        <v>267</v>
      </c>
      <c r="B122" t="s">
        <v>297</v>
      </c>
      <c r="C122" t="s">
        <v>262</v>
      </c>
      <c r="D122" t="s">
        <v>295</v>
      </c>
      <c r="E122" t="s">
        <v>65</v>
      </c>
      <c r="F122" t="s">
        <v>291</v>
      </c>
      <c r="G122" t="s">
        <v>265</v>
      </c>
      <c r="H122" t="s">
        <v>27</v>
      </c>
      <c r="I122" t="s">
        <v>266</v>
      </c>
      <c r="J122" t="s">
        <v>29</v>
      </c>
      <c r="K122" s="13" t="s">
        <v>49</v>
      </c>
      <c r="L122" s="3" t="s">
        <v>31</v>
      </c>
      <c r="M122" s="23"/>
      <c r="P122" s="26"/>
      <c r="Q122" s="3" t="s">
        <v>31</v>
      </c>
      <c r="V122" s="16">
        <f t="shared" si="5"/>
        <v>25513513.513513513</v>
      </c>
      <c r="W122" s="16">
        <v>28320000</v>
      </c>
    </row>
    <row r="123" spans="1:23" ht="14.4" hidden="1" x14ac:dyDescent="0.3">
      <c r="A123" t="s">
        <v>267</v>
      </c>
      <c r="B123" t="s">
        <v>298</v>
      </c>
      <c r="C123" t="s">
        <v>262</v>
      </c>
      <c r="D123" t="s">
        <v>295</v>
      </c>
      <c r="E123" t="s">
        <v>24</v>
      </c>
      <c r="F123" t="s">
        <v>288</v>
      </c>
      <c r="G123" t="s">
        <v>265</v>
      </c>
      <c r="H123" t="s">
        <v>27</v>
      </c>
      <c r="I123" t="s">
        <v>266</v>
      </c>
      <c r="J123" t="s">
        <v>29</v>
      </c>
      <c r="K123" s="13" t="s">
        <v>35</v>
      </c>
      <c r="L123" s="3" t="s">
        <v>31</v>
      </c>
      <c r="M123" s="23"/>
      <c r="P123" s="26"/>
      <c r="Q123" s="3" t="s">
        <v>31</v>
      </c>
      <c r="V123" s="16">
        <f t="shared" si="5"/>
        <v>22441441.441441439</v>
      </c>
      <c r="W123" s="16">
        <v>24910000</v>
      </c>
    </row>
    <row r="124" spans="1:23" ht="14.4" hidden="1" x14ac:dyDescent="0.3">
      <c r="A124" t="s">
        <v>267</v>
      </c>
      <c r="B124" t="s">
        <v>299</v>
      </c>
      <c r="C124" t="s">
        <v>262</v>
      </c>
      <c r="D124" t="s">
        <v>300</v>
      </c>
      <c r="E124" t="s">
        <v>24</v>
      </c>
      <c r="F124" t="s">
        <v>275</v>
      </c>
      <c r="G124" t="s">
        <v>265</v>
      </c>
      <c r="H124" t="s">
        <v>27</v>
      </c>
      <c r="I124" t="s">
        <v>266</v>
      </c>
      <c r="J124" t="s">
        <v>29</v>
      </c>
      <c r="K124" s="13" t="s">
        <v>49</v>
      </c>
      <c r="L124" s="3" t="s">
        <v>31</v>
      </c>
      <c r="M124" s="23"/>
      <c r="P124" s="26"/>
      <c r="Q124" s="3" t="s">
        <v>31</v>
      </c>
      <c r="V124" s="16">
        <f t="shared" si="5"/>
        <v>22063063.063063063</v>
      </c>
      <c r="W124" s="16">
        <v>24490000</v>
      </c>
    </row>
    <row r="125" spans="1:23" ht="14.4" hidden="1" x14ac:dyDescent="0.3">
      <c r="A125" t="s">
        <v>267</v>
      </c>
      <c r="B125" t="s">
        <v>301</v>
      </c>
      <c r="C125" t="s">
        <v>262</v>
      </c>
      <c r="D125" t="s">
        <v>300</v>
      </c>
      <c r="E125" t="s">
        <v>24</v>
      </c>
      <c r="F125" t="s">
        <v>293</v>
      </c>
      <c r="G125" t="s">
        <v>265</v>
      </c>
      <c r="H125" t="s">
        <v>27</v>
      </c>
      <c r="I125" t="s">
        <v>266</v>
      </c>
      <c r="J125" t="s">
        <v>29</v>
      </c>
      <c r="K125" s="13" t="s">
        <v>49</v>
      </c>
      <c r="L125" s="3" t="s">
        <v>31</v>
      </c>
      <c r="M125" s="23"/>
      <c r="P125" s="26"/>
      <c r="Q125" s="3" t="s">
        <v>31</v>
      </c>
      <c r="V125" s="16">
        <f t="shared" si="5"/>
        <v>25360360.360360358</v>
      </c>
      <c r="W125" s="16">
        <v>28150000</v>
      </c>
    </row>
    <row r="126" spans="1:23" ht="14.4" hidden="1" x14ac:dyDescent="0.3">
      <c r="A126" t="s">
        <v>267</v>
      </c>
      <c r="B126" t="s">
        <v>302</v>
      </c>
      <c r="C126" t="s">
        <v>262</v>
      </c>
      <c r="D126" t="s">
        <v>300</v>
      </c>
      <c r="E126" t="s">
        <v>24</v>
      </c>
      <c r="F126" t="s">
        <v>293</v>
      </c>
      <c r="G126" t="s">
        <v>265</v>
      </c>
      <c r="H126" t="s">
        <v>27</v>
      </c>
      <c r="I126" t="s">
        <v>266</v>
      </c>
      <c r="J126" t="s">
        <v>29</v>
      </c>
      <c r="K126" s="13" t="s">
        <v>49</v>
      </c>
      <c r="L126" s="3" t="s">
        <v>31</v>
      </c>
      <c r="M126" s="23"/>
      <c r="P126" s="26"/>
      <c r="Q126" s="3" t="s">
        <v>31</v>
      </c>
      <c r="V126" s="16">
        <f t="shared" si="5"/>
        <v>26891891.891891889</v>
      </c>
      <c r="W126" s="16">
        <v>29850000</v>
      </c>
    </row>
    <row r="127" spans="1:23" ht="14.4" hidden="1" x14ac:dyDescent="0.3">
      <c r="A127" t="s">
        <v>267</v>
      </c>
      <c r="B127" t="s">
        <v>303</v>
      </c>
      <c r="C127" t="s">
        <v>262</v>
      </c>
      <c r="D127" t="s">
        <v>300</v>
      </c>
      <c r="E127" t="s">
        <v>65</v>
      </c>
      <c r="F127" t="s">
        <v>291</v>
      </c>
      <c r="G127" t="s">
        <v>265</v>
      </c>
      <c r="H127" t="s">
        <v>27</v>
      </c>
      <c r="I127" t="s">
        <v>266</v>
      </c>
      <c r="J127" t="s">
        <v>29</v>
      </c>
      <c r="K127" s="13" t="s">
        <v>35</v>
      </c>
      <c r="L127" s="3" t="s">
        <v>31</v>
      </c>
      <c r="M127" s="23"/>
      <c r="P127" s="26"/>
      <c r="Q127" s="3" t="s">
        <v>31</v>
      </c>
      <c r="V127" s="16">
        <f t="shared" si="5"/>
        <v>23828828.828828827</v>
      </c>
      <c r="W127" s="16">
        <v>26450000</v>
      </c>
    </row>
    <row r="128" spans="1:23" ht="14.4" hidden="1" x14ac:dyDescent="0.3">
      <c r="A128" t="s">
        <v>267</v>
      </c>
      <c r="B128" t="s">
        <v>304</v>
      </c>
      <c r="C128" t="s">
        <v>262</v>
      </c>
      <c r="D128" t="s">
        <v>300</v>
      </c>
      <c r="E128" t="s">
        <v>65</v>
      </c>
      <c r="F128" t="s">
        <v>293</v>
      </c>
      <c r="G128" t="s">
        <v>265</v>
      </c>
      <c r="H128" t="s">
        <v>27</v>
      </c>
      <c r="I128" t="s">
        <v>266</v>
      </c>
      <c r="J128" t="s">
        <v>29</v>
      </c>
      <c r="K128" s="13" t="s">
        <v>35</v>
      </c>
      <c r="L128" s="3" t="s">
        <v>31</v>
      </c>
      <c r="M128" s="23"/>
      <c r="P128" s="26"/>
      <c r="Q128" s="3" t="s">
        <v>31</v>
      </c>
      <c r="V128" s="16">
        <f t="shared" si="5"/>
        <v>26504504.504504502</v>
      </c>
      <c r="W128" s="16">
        <v>29420000</v>
      </c>
    </row>
    <row r="129" spans="1:23" ht="14.4" hidden="1" x14ac:dyDescent="0.3">
      <c r="A129" t="s">
        <v>267</v>
      </c>
      <c r="B129" t="s">
        <v>305</v>
      </c>
      <c r="C129" t="s">
        <v>262</v>
      </c>
      <c r="D129" t="s">
        <v>306</v>
      </c>
      <c r="E129" t="s">
        <v>24</v>
      </c>
      <c r="F129" t="s">
        <v>271</v>
      </c>
      <c r="G129" t="s">
        <v>265</v>
      </c>
      <c r="H129" t="s">
        <v>27</v>
      </c>
      <c r="I129" t="s">
        <v>266</v>
      </c>
      <c r="J129" t="s">
        <v>29</v>
      </c>
      <c r="K129" s="13" t="s">
        <v>35</v>
      </c>
      <c r="L129" s="3" t="s">
        <v>31</v>
      </c>
      <c r="M129" s="23"/>
      <c r="P129" s="26"/>
      <c r="Q129" s="3" t="s">
        <v>31</v>
      </c>
      <c r="V129" s="16">
        <f t="shared" si="5"/>
        <v>27117117.117117114</v>
      </c>
      <c r="W129" s="16">
        <v>30100000</v>
      </c>
    </row>
    <row r="130" spans="1:23" ht="14.4" hidden="1" x14ac:dyDescent="0.3">
      <c r="A130" t="s">
        <v>267</v>
      </c>
      <c r="B130" t="s">
        <v>307</v>
      </c>
      <c r="C130" t="s">
        <v>262</v>
      </c>
      <c r="D130" t="s">
        <v>306</v>
      </c>
      <c r="E130" t="s">
        <v>65</v>
      </c>
      <c r="F130" t="s">
        <v>154</v>
      </c>
      <c r="G130" t="s">
        <v>265</v>
      </c>
      <c r="H130" t="s">
        <v>27</v>
      </c>
      <c r="I130" t="s">
        <v>266</v>
      </c>
      <c r="J130" t="s">
        <v>29</v>
      </c>
      <c r="K130" s="13" t="s">
        <v>35</v>
      </c>
      <c r="L130" s="3" t="s">
        <v>31</v>
      </c>
      <c r="M130" s="23"/>
      <c r="P130" s="26"/>
      <c r="Q130" s="3" t="s">
        <v>31</v>
      </c>
      <c r="V130" s="16">
        <f t="shared" si="5"/>
        <v>32099099.099099096</v>
      </c>
      <c r="W130" s="16">
        <v>35630000</v>
      </c>
    </row>
    <row r="131" spans="1:23" ht="14.4" hidden="1" x14ac:dyDescent="0.3">
      <c r="A131" t="s">
        <v>267</v>
      </c>
      <c r="B131" t="s">
        <v>308</v>
      </c>
      <c r="C131" t="s">
        <v>262</v>
      </c>
      <c r="D131" t="s">
        <v>306</v>
      </c>
      <c r="E131" t="s">
        <v>24</v>
      </c>
      <c r="F131" t="s">
        <v>273</v>
      </c>
      <c r="G131" t="s">
        <v>265</v>
      </c>
      <c r="H131" t="s">
        <v>27</v>
      </c>
      <c r="I131" t="s">
        <v>266</v>
      </c>
      <c r="J131" t="s">
        <v>29</v>
      </c>
      <c r="K131" s="13" t="s">
        <v>35</v>
      </c>
      <c r="L131" s="3" t="s">
        <v>31</v>
      </c>
      <c r="M131" s="23"/>
      <c r="P131" s="26"/>
      <c r="Q131" s="3" t="s">
        <v>31</v>
      </c>
      <c r="V131" s="16">
        <f t="shared" si="5"/>
        <v>25054054.054054052</v>
      </c>
      <c r="W131" s="16">
        <v>27810000</v>
      </c>
    </row>
    <row r="132" spans="1:23" ht="14.4" hidden="1" x14ac:dyDescent="0.3">
      <c r="A132" t="s">
        <v>267</v>
      </c>
      <c r="B132" t="s">
        <v>309</v>
      </c>
      <c r="C132" t="s">
        <v>262</v>
      </c>
      <c r="D132" t="s">
        <v>310</v>
      </c>
      <c r="E132" t="s">
        <v>24</v>
      </c>
      <c r="F132" t="s">
        <v>293</v>
      </c>
      <c r="G132" t="s">
        <v>265</v>
      </c>
      <c r="H132" t="s">
        <v>27</v>
      </c>
      <c r="I132" t="s">
        <v>266</v>
      </c>
      <c r="J132" t="s">
        <v>29</v>
      </c>
      <c r="K132" s="13" t="s">
        <v>35</v>
      </c>
      <c r="L132" s="3" t="s">
        <v>31</v>
      </c>
      <c r="M132" s="23"/>
      <c r="P132" s="26"/>
      <c r="Q132" s="3" t="s">
        <v>31</v>
      </c>
      <c r="V132" s="16">
        <f t="shared" si="5"/>
        <v>30261261.261261258</v>
      </c>
      <c r="W132" s="16">
        <v>33590000</v>
      </c>
    </row>
    <row r="133" spans="1:23" ht="14.4" hidden="1" x14ac:dyDescent="0.3">
      <c r="A133" t="s">
        <v>267</v>
      </c>
      <c r="B133" t="s">
        <v>311</v>
      </c>
      <c r="C133" t="s">
        <v>262</v>
      </c>
      <c r="D133" t="s">
        <v>310</v>
      </c>
      <c r="E133" t="s">
        <v>65</v>
      </c>
      <c r="F133" t="s">
        <v>291</v>
      </c>
      <c r="G133" t="s">
        <v>265</v>
      </c>
      <c r="H133" t="s">
        <v>27</v>
      </c>
      <c r="I133" t="s">
        <v>266</v>
      </c>
      <c r="J133" t="s">
        <v>29</v>
      </c>
      <c r="K133" s="13" t="s">
        <v>35</v>
      </c>
      <c r="L133" s="3" t="s">
        <v>31</v>
      </c>
      <c r="M133" s="23"/>
      <c r="P133" s="26"/>
      <c r="Q133" s="3" t="s">
        <v>31</v>
      </c>
      <c r="V133" s="16">
        <f t="shared" si="5"/>
        <v>29108108.108108107</v>
      </c>
      <c r="W133" s="16">
        <v>32310000</v>
      </c>
    </row>
    <row r="134" spans="1:23" ht="14.4" hidden="1" x14ac:dyDescent="0.3">
      <c r="A134" t="s">
        <v>267</v>
      </c>
      <c r="B134" t="s">
        <v>312</v>
      </c>
      <c r="C134" t="s">
        <v>262</v>
      </c>
      <c r="D134" t="s">
        <v>313</v>
      </c>
      <c r="E134" t="s">
        <v>65</v>
      </c>
      <c r="F134" t="s">
        <v>314</v>
      </c>
      <c r="G134" t="s">
        <v>265</v>
      </c>
      <c r="H134" t="s">
        <v>27</v>
      </c>
      <c r="I134" t="s">
        <v>266</v>
      </c>
      <c r="J134" t="s">
        <v>29</v>
      </c>
      <c r="K134" s="13" t="s">
        <v>35</v>
      </c>
      <c r="L134" s="3" t="s">
        <v>31</v>
      </c>
      <c r="M134" s="23"/>
      <c r="P134" s="26"/>
      <c r="Q134" s="3" t="s">
        <v>31</v>
      </c>
      <c r="V134" s="16">
        <f t="shared" si="5"/>
        <v>36486486.48648648</v>
      </c>
      <c r="W134" s="16">
        <v>40500000</v>
      </c>
    </row>
    <row r="135" spans="1:23" ht="14.4" hidden="1" x14ac:dyDescent="0.3">
      <c r="A135" t="s">
        <v>267</v>
      </c>
      <c r="B135" t="s">
        <v>315</v>
      </c>
      <c r="C135" t="s">
        <v>262</v>
      </c>
      <c r="D135" t="s">
        <v>313</v>
      </c>
      <c r="E135" t="s">
        <v>173</v>
      </c>
      <c r="F135" t="s">
        <v>316</v>
      </c>
      <c r="G135" t="s">
        <v>265</v>
      </c>
      <c r="H135" t="s">
        <v>27</v>
      </c>
      <c r="I135" t="s">
        <v>266</v>
      </c>
      <c r="J135" t="s">
        <v>29</v>
      </c>
      <c r="K135" s="13" t="s">
        <v>35</v>
      </c>
      <c r="L135" s="3" t="s">
        <v>31</v>
      </c>
      <c r="M135" s="23"/>
      <c r="P135" s="26"/>
      <c r="Q135" s="3" t="s">
        <v>31</v>
      </c>
      <c r="V135" s="16">
        <f t="shared" si="5"/>
        <v>39639639.639639638</v>
      </c>
      <c r="W135" s="16">
        <v>44000000</v>
      </c>
    </row>
    <row r="136" spans="1:23" ht="14.4" hidden="1" x14ac:dyDescent="0.3">
      <c r="A136" t="s">
        <v>267</v>
      </c>
      <c r="B136" t="s">
        <v>317</v>
      </c>
      <c r="C136" t="s">
        <v>262</v>
      </c>
      <c r="D136" t="s">
        <v>318</v>
      </c>
      <c r="E136" t="s">
        <v>319</v>
      </c>
      <c r="F136" t="s">
        <v>320</v>
      </c>
      <c r="G136" t="s">
        <v>265</v>
      </c>
      <c r="H136" t="s">
        <v>27</v>
      </c>
      <c r="I136" t="s">
        <v>266</v>
      </c>
      <c r="J136" t="s">
        <v>29</v>
      </c>
      <c r="K136" s="13" t="s">
        <v>35</v>
      </c>
      <c r="L136" s="3" t="s">
        <v>31</v>
      </c>
      <c r="M136" s="23"/>
      <c r="P136" s="26"/>
      <c r="Q136" s="3" t="s">
        <v>31</v>
      </c>
      <c r="V136" s="16">
        <f t="shared" si="5"/>
        <v>71621621.621621609</v>
      </c>
      <c r="W136" s="16">
        <v>79500000</v>
      </c>
    </row>
    <row r="137" spans="1:23" ht="14.4" hidden="1" x14ac:dyDescent="0.3">
      <c r="A137" t="s">
        <v>267</v>
      </c>
      <c r="B137" t="s">
        <v>321</v>
      </c>
      <c r="C137" t="s">
        <v>262</v>
      </c>
      <c r="D137" t="s">
        <v>318</v>
      </c>
      <c r="E137" t="s">
        <v>322</v>
      </c>
      <c r="F137" t="s">
        <v>320</v>
      </c>
      <c r="G137" t="s">
        <v>265</v>
      </c>
      <c r="H137" t="s">
        <v>27</v>
      </c>
      <c r="I137" t="s">
        <v>266</v>
      </c>
      <c r="J137" t="s">
        <v>29</v>
      </c>
      <c r="K137" s="13" t="s">
        <v>35</v>
      </c>
      <c r="L137" s="3" t="s">
        <v>31</v>
      </c>
      <c r="M137" s="23"/>
      <c r="P137" s="26"/>
      <c r="Q137" s="3" t="s">
        <v>31</v>
      </c>
      <c r="V137" s="16">
        <f>W137/1.11</f>
        <v>90990990.990990981</v>
      </c>
      <c r="W137" s="16">
        <v>101000000</v>
      </c>
    </row>
    <row r="138" spans="1:23" ht="14.4" hidden="1" x14ac:dyDescent="0.3">
      <c r="A138" t="s">
        <v>267</v>
      </c>
      <c r="B138" t="s">
        <v>323</v>
      </c>
      <c r="C138" t="s">
        <v>262</v>
      </c>
      <c r="D138" t="s">
        <v>263</v>
      </c>
      <c r="E138" t="s">
        <v>24</v>
      </c>
      <c r="F138" t="s">
        <v>264</v>
      </c>
      <c r="G138" t="s">
        <v>265</v>
      </c>
      <c r="H138" t="s">
        <v>27</v>
      </c>
      <c r="I138" t="s">
        <v>266</v>
      </c>
      <c r="J138" t="s">
        <v>29</v>
      </c>
      <c r="K138" s="13" t="s">
        <v>155</v>
      </c>
      <c r="L138" s="3" t="s">
        <v>31</v>
      </c>
      <c r="M138" s="23"/>
      <c r="P138" s="26"/>
      <c r="Q138" s="3" t="s">
        <v>31</v>
      </c>
      <c r="V138" s="16">
        <f t="shared" ref="V138:V156" si="6">W138/1.11</f>
        <v>17315315.315315314</v>
      </c>
      <c r="W138" s="16">
        <v>19220000</v>
      </c>
    </row>
    <row r="139" spans="1:23" ht="14.4" hidden="1" x14ac:dyDescent="0.3">
      <c r="A139" t="s">
        <v>267</v>
      </c>
      <c r="B139" t="s">
        <v>324</v>
      </c>
      <c r="C139" t="s">
        <v>262</v>
      </c>
      <c r="D139" t="s">
        <v>263</v>
      </c>
      <c r="E139" t="s">
        <v>24</v>
      </c>
      <c r="F139" t="s">
        <v>47</v>
      </c>
      <c r="G139" t="s">
        <v>265</v>
      </c>
      <c r="H139" t="s">
        <v>27</v>
      </c>
      <c r="I139" t="s">
        <v>266</v>
      </c>
      <c r="J139" t="s">
        <v>29</v>
      </c>
      <c r="K139" s="13" t="s">
        <v>155</v>
      </c>
      <c r="L139" s="3" t="s">
        <v>31</v>
      </c>
      <c r="M139" s="23"/>
      <c r="P139" s="26"/>
      <c r="Q139" s="3" t="s">
        <v>31</v>
      </c>
      <c r="V139" s="16">
        <f t="shared" si="6"/>
        <v>18504504.504504502</v>
      </c>
      <c r="W139" s="16">
        <v>20540000</v>
      </c>
    </row>
    <row r="140" spans="1:23" ht="14.4" hidden="1" x14ac:dyDescent="0.3">
      <c r="A140" t="s">
        <v>267</v>
      </c>
      <c r="B140" t="s">
        <v>325</v>
      </c>
      <c r="C140" t="s">
        <v>262</v>
      </c>
      <c r="D140" t="s">
        <v>263</v>
      </c>
      <c r="E140" t="s">
        <v>24</v>
      </c>
      <c r="F140" t="s">
        <v>154</v>
      </c>
      <c r="G140" t="s">
        <v>265</v>
      </c>
      <c r="H140" t="s">
        <v>27</v>
      </c>
      <c r="I140" t="s">
        <v>266</v>
      </c>
      <c r="J140" t="s">
        <v>29</v>
      </c>
      <c r="K140" s="13" t="s">
        <v>155</v>
      </c>
      <c r="L140" s="3" t="s">
        <v>31</v>
      </c>
      <c r="M140" s="23"/>
      <c r="P140" s="26"/>
      <c r="Q140" s="3" t="s">
        <v>31</v>
      </c>
      <c r="V140" s="16">
        <f t="shared" si="6"/>
        <v>24594594.594594594</v>
      </c>
      <c r="W140" s="16">
        <v>27300000</v>
      </c>
    </row>
    <row r="141" spans="1:23" ht="14.4" hidden="1" x14ac:dyDescent="0.3">
      <c r="A141" t="s">
        <v>267</v>
      </c>
      <c r="B141" t="s">
        <v>326</v>
      </c>
      <c r="C141" t="s">
        <v>262</v>
      </c>
      <c r="D141" t="s">
        <v>263</v>
      </c>
      <c r="E141" t="s">
        <v>65</v>
      </c>
      <c r="F141" t="s">
        <v>271</v>
      </c>
      <c r="G141" t="s">
        <v>265</v>
      </c>
      <c r="H141" t="s">
        <v>27</v>
      </c>
      <c r="I141" t="s">
        <v>266</v>
      </c>
      <c r="J141" t="s">
        <v>29</v>
      </c>
      <c r="K141" s="13" t="s">
        <v>155</v>
      </c>
      <c r="L141" s="3" t="s">
        <v>31</v>
      </c>
      <c r="M141" s="23"/>
      <c r="P141" s="26"/>
      <c r="Q141" s="3" t="s">
        <v>31</v>
      </c>
      <c r="V141" s="16">
        <f t="shared" si="6"/>
        <v>22675675.675675675</v>
      </c>
      <c r="W141" s="16">
        <v>25170000</v>
      </c>
    </row>
    <row r="142" spans="1:23" ht="14.4" hidden="1" x14ac:dyDescent="0.3">
      <c r="A142" t="s">
        <v>267</v>
      </c>
      <c r="B142" t="s">
        <v>327</v>
      </c>
      <c r="C142" t="s">
        <v>262</v>
      </c>
      <c r="D142" t="s">
        <v>277</v>
      </c>
      <c r="E142" t="s">
        <v>24</v>
      </c>
      <c r="F142" t="s">
        <v>47</v>
      </c>
      <c r="G142" t="s">
        <v>265</v>
      </c>
      <c r="H142" t="s">
        <v>27</v>
      </c>
      <c r="I142" t="s">
        <v>266</v>
      </c>
      <c r="J142" t="s">
        <v>29</v>
      </c>
      <c r="K142" s="13" t="s">
        <v>155</v>
      </c>
      <c r="L142" s="3" t="s">
        <v>31</v>
      </c>
      <c r="M142" s="23"/>
      <c r="P142" s="26"/>
      <c r="Q142" s="3" t="s">
        <v>31</v>
      </c>
      <c r="V142" s="16">
        <f t="shared" si="6"/>
        <v>18540540.540540539</v>
      </c>
      <c r="W142" s="16">
        <v>20580000</v>
      </c>
    </row>
    <row r="143" spans="1:23" ht="14.4" hidden="1" x14ac:dyDescent="0.3">
      <c r="A143" t="s">
        <v>267</v>
      </c>
      <c r="B143" t="s">
        <v>328</v>
      </c>
      <c r="C143" t="s">
        <v>262</v>
      </c>
      <c r="D143" t="s">
        <v>277</v>
      </c>
      <c r="E143" t="s">
        <v>24</v>
      </c>
      <c r="F143" t="s">
        <v>154</v>
      </c>
      <c r="G143" t="s">
        <v>265</v>
      </c>
      <c r="H143" t="s">
        <v>27</v>
      </c>
      <c r="I143" t="s">
        <v>266</v>
      </c>
      <c r="J143" t="s">
        <v>29</v>
      </c>
      <c r="K143" s="13" t="s">
        <v>155</v>
      </c>
      <c r="L143" s="3" t="s">
        <v>31</v>
      </c>
      <c r="M143" s="23"/>
      <c r="P143" s="26"/>
      <c r="Q143" s="3" t="s">
        <v>31</v>
      </c>
      <c r="V143" s="16">
        <f t="shared" si="6"/>
        <v>24594594.594594594</v>
      </c>
      <c r="W143" s="16">
        <v>27300000</v>
      </c>
    </row>
    <row r="144" spans="1:23" ht="14.4" hidden="1" x14ac:dyDescent="0.3">
      <c r="A144" t="s">
        <v>267</v>
      </c>
      <c r="B144" t="s">
        <v>329</v>
      </c>
      <c r="C144" t="s">
        <v>262</v>
      </c>
      <c r="D144" t="s">
        <v>277</v>
      </c>
      <c r="E144" t="s">
        <v>65</v>
      </c>
      <c r="F144" t="s">
        <v>271</v>
      </c>
      <c r="G144" t="s">
        <v>265</v>
      </c>
      <c r="H144" t="s">
        <v>27</v>
      </c>
      <c r="I144" t="s">
        <v>266</v>
      </c>
      <c r="J144" t="s">
        <v>29</v>
      </c>
      <c r="K144" s="13" t="s">
        <v>155</v>
      </c>
      <c r="L144" s="3" t="s">
        <v>31</v>
      </c>
      <c r="M144" s="23"/>
      <c r="P144" s="26"/>
      <c r="Q144" s="3" t="s">
        <v>31</v>
      </c>
      <c r="V144" s="16">
        <f t="shared" si="6"/>
        <v>22288288.288288288</v>
      </c>
      <c r="W144" s="16">
        <v>24740000</v>
      </c>
    </row>
    <row r="145" spans="1:23" ht="14.4" hidden="1" x14ac:dyDescent="0.3">
      <c r="A145" t="s">
        <v>267</v>
      </c>
      <c r="B145" t="s">
        <v>330</v>
      </c>
      <c r="C145" t="s">
        <v>262</v>
      </c>
      <c r="D145" t="s">
        <v>283</v>
      </c>
      <c r="E145" t="s">
        <v>24</v>
      </c>
      <c r="F145" t="s">
        <v>47</v>
      </c>
      <c r="G145" t="s">
        <v>265</v>
      </c>
      <c r="H145" t="s">
        <v>27</v>
      </c>
      <c r="I145" t="s">
        <v>266</v>
      </c>
      <c r="J145" t="s">
        <v>29</v>
      </c>
      <c r="K145" s="13" t="s">
        <v>155</v>
      </c>
      <c r="L145" s="3" t="s">
        <v>31</v>
      </c>
      <c r="M145" s="23"/>
      <c r="P145" s="26"/>
      <c r="Q145" s="3" t="s">
        <v>31</v>
      </c>
      <c r="V145" s="16">
        <f t="shared" si="6"/>
        <v>19765765.765765764</v>
      </c>
      <c r="W145" s="16">
        <v>21940000</v>
      </c>
    </row>
    <row r="146" spans="1:23" ht="14.4" hidden="1" x14ac:dyDescent="0.3">
      <c r="A146" t="s">
        <v>267</v>
      </c>
      <c r="B146" t="s">
        <v>331</v>
      </c>
      <c r="C146" t="s">
        <v>262</v>
      </c>
      <c r="D146" t="s">
        <v>283</v>
      </c>
      <c r="E146" t="s">
        <v>24</v>
      </c>
      <c r="F146" t="s">
        <v>271</v>
      </c>
      <c r="G146" t="s">
        <v>265</v>
      </c>
      <c r="H146" t="s">
        <v>27</v>
      </c>
      <c r="I146" t="s">
        <v>266</v>
      </c>
      <c r="J146" t="s">
        <v>29</v>
      </c>
      <c r="K146" s="13" t="s">
        <v>155</v>
      </c>
      <c r="L146" s="3" t="s">
        <v>31</v>
      </c>
      <c r="M146" s="23"/>
      <c r="P146" s="26"/>
      <c r="Q146" s="3" t="s">
        <v>31</v>
      </c>
      <c r="V146" s="16">
        <f t="shared" si="6"/>
        <v>22369369.369369369</v>
      </c>
      <c r="W146" s="16">
        <v>24830000</v>
      </c>
    </row>
    <row r="147" spans="1:23" ht="14.4" hidden="1" x14ac:dyDescent="0.3">
      <c r="A147" t="s">
        <v>267</v>
      </c>
      <c r="B147" t="s">
        <v>332</v>
      </c>
      <c r="C147" t="s">
        <v>262</v>
      </c>
      <c r="D147" t="s">
        <v>283</v>
      </c>
      <c r="E147" t="s">
        <v>65</v>
      </c>
      <c r="F147" t="s">
        <v>271</v>
      </c>
      <c r="G147" t="s">
        <v>265</v>
      </c>
      <c r="H147" t="s">
        <v>27</v>
      </c>
      <c r="I147" t="s">
        <v>266</v>
      </c>
      <c r="J147" t="s">
        <v>29</v>
      </c>
      <c r="K147" s="13" t="s">
        <v>155</v>
      </c>
      <c r="L147" s="3" t="s">
        <v>31</v>
      </c>
      <c r="M147" s="23"/>
      <c r="P147" s="26"/>
      <c r="Q147" s="3" t="s">
        <v>31</v>
      </c>
      <c r="V147" s="16">
        <f t="shared" si="6"/>
        <v>23900900.9009009</v>
      </c>
      <c r="W147" s="16">
        <v>26530000</v>
      </c>
    </row>
    <row r="148" spans="1:23" ht="14.4" hidden="1" x14ac:dyDescent="0.3">
      <c r="A148" t="s">
        <v>267</v>
      </c>
      <c r="B148" t="s">
        <v>333</v>
      </c>
      <c r="C148" t="s">
        <v>262</v>
      </c>
      <c r="D148" t="s">
        <v>300</v>
      </c>
      <c r="E148" t="s">
        <v>24</v>
      </c>
      <c r="F148" t="s">
        <v>47</v>
      </c>
      <c r="G148" t="s">
        <v>265</v>
      </c>
      <c r="H148" t="s">
        <v>27</v>
      </c>
      <c r="I148" t="s">
        <v>266</v>
      </c>
      <c r="J148" t="s">
        <v>29</v>
      </c>
      <c r="K148" s="13" t="s">
        <v>155</v>
      </c>
      <c r="L148" s="3" t="s">
        <v>31</v>
      </c>
      <c r="M148" s="23"/>
      <c r="P148" s="26"/>
      <c r="Q148" s="3" t="s">
        <v>31</v>
      </c>
      <c r="V148" s="16">
        <f t="shared" si="6"/>
        <v>20297297.297297295</v>
      </c>
      <c r="W148" s="16">
        <v>22530000</v>
      </c>
    </row>
    <row r="149" spans="1:23" ht="14.4" hidden="1" x14ac:dyDescent="0.3">
      <c r="A149" t="s">
        <v>267</v>
      </c>
      <c r="B149" t="s">
        <v>334</v>
      </c>
      <c r="C149" t="s">
        <v>262</v>
      </c>
      <c r="D149" t="s">
        <v>300</v>
      </c>
      <c r="E149" t="s">
        <v>24</v>
      </c>
      <c r="F149" t="s">
        <v>271</v>
      </c>
      <c r="G149" t="s">
        <v>265</v>
      </c>
      <c r="H149" t="s">
        <v>27</v>
      </c>
      <c r="I149" t="s">
        <v>266</v>
      </c>
      <c r="J149" t="s">
        <v>29</v>
      </c>
      <c r="K149" s="13" t="s">
        <v>155</v>
      </c>
      <c r="L149" s="3" t="s">
        <v>31</v>
      </c>
      <c r="M149" s="23"/>
      <c r="P149" s="26"/>
      <c r="Q149" s="3" t="s">
        <v>31</v>
      </c>
      <c r="V149" s="16">
        <f t="shared" si="6"/>
        <v>22981981.981981982</v>
      </c>
      <c r="W149" s="16">
        <v>25510000</v>
      </c>
    </row>
    <row r="150" spans="1:23" ht="14.4" hidden="1" x14ac:dyDescent="0.3">
      <c r="A150" t="s">
        <v>267</v>
      </c>
      <c r="B150" t="s">
        <v>335</v>
      </c>
      <c r="C150" t="s">
        <v>262</v>
      </c>
      <c r="D150" t="s">
        <v>300</v>
      </c>
      <c r="E150" t="s">
        <v>65</v>
      </c>
      <c r="F150" t="s">
        <v>271</v>
      </c>
      <c r="G150" t="s">
        <v>265</v>
      </c>
      <c r="H150" t="s">
        <v>27</v>
      </c>
      <c r="I150" t="s">
        <v>266</v>
      </c>
      <c r="J150" t="s">
        <v>29</v>
      </c>
      <c r="K150" s="13" t="s">
        <v>155</v>
      </c>
      <c r="L150" s="3" t="s">
        <v>31</v>
      </c>
      <c r="M150" s="23"/>
      <c r="P150" s="26"/>
      <c r="Q150" s="3" t="s">
        <v>31</v>
      </c>
      <c r="V150" s="16">
        <f t="shared" si="6"/>
        <v>24513513.513513513</v>
      </c>
      <c r="W150" s="16">
        <v>27210000</v>
      </c>
    </row>
    <row r="151" spans="1:23" ht="14.4" hidden="1" x14ac:dyDescent="0.3">
      <c r="A151" t="s">
        <v>267</v>
      </c>
      <c r="B151" t="s">
        <v>336</v>
      </c>
      <c r="C151" t="s">
        <v>262</v>
      </c>
      <c r="D151" t="s">
        <v>306</v>
      </c>
      <c r="E151" t="s">
        <v>24</v>
      </c>
      <c r="F151" t="s">
        <v>271</v>
      </c>
      <c r="G151" t="s">
        <v>265</v>
      </c>
      <c r="H151" t="s">
        <v>27</v>
      </c>
      <c r="I151" t="s">
        <v>266</v>
      </c>
      <c r="J151" t="s">
        <v>29</v>
      </c>
      <c r="K151" s="13" t="s">
        <v>155</v>
      </c>
      <c r="L151" s="3" t="s">
        <v>31</v>
      </c>
      <c r="M151" s="23"/>
      <c r="P151" s="26"/>
      <c r="Q151" s="3" t="s">
        <v>31</v>
      </c>
      <c r="V151" s="16">
        <f t="shared" si="6"/>
        <v>27657657.657657657</v>
      </c>
      <c r="W151" s="16">
        <v>30700000</v>
      </c>
    </row>
    <row r="152" spans="1:23" ht="14.4" hidden="1" x14ac:dyDescent="0.3">
      <c r="A152" t="s">
        <v>267</v>
      </c>
      <c r="B152" t="s">
        <v>337</v>
      </c>
      <c r="C152" t="s">
        <v>262</v>
      </c>
      <c r="D152" t="s">
        <v>306</v>
      </c>
      <c r="E152" t="s">
        <v>65</v>
      </c>
      <c r="F152" t="s">
        <v>271</v>
      </c>
      <c r="G152" t="s">
        <v>265</v>
      </c>
      <c r="H152" t="s">
        <v>27</v>
      </c>
      <c r="I152" t="s">
        <v>266</v>
      </c>
      <c r="J152" t="s">
        <v>29</v>
      </c>
      <c r="K152" s="13" t="s">
        <v>155</v>
      </c>
      <c r="L152" s="3" t="s">
        <v>31</v>
      </c>
      <c r="M152" s="23"/>
      <c r="P152" s="26"/>
      <c r="Q152" s="3" t="s">
        <v>31</v>
      </c>
      <c r="V152" s="16">
        <f t="shared" si="6"/>
        <v>29108108.108108107</v>
      </c>
      <c r="W152" s="16">
        <v>32310000</v>
      </c>
    </row>
    <row r="153" spans="1:23" ht="14.4" hidden="1" x14ac:dyDescent="0.3">
      <c r="A153" t="s">
        <v>267</v>
      </c>
      <c r="B153" t="s">
        <v>338</v>
      </c>
      <c r="C153" t="s">
        <v>262</v>
      </c>
      <c r="D153" t="s">
        <v>306</v>
      </c>
      <c r="E153" t="s">
        <v>65</v>
      </c>
      <c r="F153" t="s">
        <v>154</v>
      </c>
      <c r="G153" t="s">
        <v>265</v>
      </c>
      <c r="H153" t="s">
        <v>27</v>
      </c>
      <c r="I153" t="s">
        <v>266</v>
      </c>
      <c r="J153" t="s">
        <v>29</v>
      </c>
      <c r="K153" s="13" t="s">
        <v>155</v>
      </c>
      <c r="L153" s="3" t="s">
        <v>31</v>
      </c>
      <c r="M153" s="23"/>
      <c r="P153" s="26"/>
      <c r="Q153" s="3" t="s">
        <v>31</v>
      </c>
      <c r="V153" s="16">
        <f t="shared" si="6"/>
        <v>32558558.558558557</v>
      </c>
      <c r="W153" s="16">
        <v>36140000</v>
      </c>
    </row>
    <row r="154" spans="1:23" ht="14.4" hidden="1" x14ac:dyDescent="0.3">
      <c r="A154" t="s">
        <v>267</v>
      </c>
      <c r="B154" t="s">
        <v>339</v>
      </c>
      <c r="C154" t="s">
        <v>262</v>
      </c>
      <c r="D154" t="s">
        <v>310</v>
      </c>
      <c r="E154" t="s">
        <v>24</v>
      </c>
      <c r="F154" t="s">
        <v>271</v>
      </c>
      <c r="G154" t="s">
        <v>265</v>
      </c>
      <c r="H154" t="s">
        <v>27</v>
      </c>
      <c r="I154" t="s">
        <v>266</v>
      </c>
      <c r="J154" t="s">
        <v>29</v>
      </c>
      <c r="K154" s="13" t="s">
        <v>155</v>
      </c>
      <c r="L154" s="3" t="s">
        <v>31</v>
      </c>
      <c r="M154" s="23"/>
      <c r="P154" s="26"/>
      <c r="Q154" s="3" t="s">
        <v>31</v>
      </c>
      <c r="V154" s="16">
        <f t="shared" si="6"/>
        <v>30027027.027027026</v>
      </c>
      <c r="W154" s="16">
        <v>33330000</v>
      </c>
    </row>
    <row r="155" spans="1:23" ht="14.4" hidden="1" x14ac:dyDescent="0.3">
      <c r="A155" t="s">
        <v>267</v>
      </c>
      <c r="B155" t="s">
        <v>340</v>
      </c>
      <c r="C155" t="s">
        <v>262</v>
      </c>
      <c r="D155" t="s">
        <v>310</v>
      </c>
      <c r="E155" t="s">
        <v>65</v>
      </c>
      <c r="F155" t="s">
        <v>271</v>
      </c>
      <c r="G155" t="s">
        <v>265</v>
      </c>
      <c r="H155" t="s">
        <v>27</v>
      </c>
      <c r="I155" t="s">
        <v>266</v>
      </c>
      <c r="J155" t="s">
        <v>29</v>
      </c>
      <c r="K155" s="13" t="s">
        <v>155</v>
      </c>
      <c r="L155" s="3" t="s">
        <v>31</v>
      </c>
      <c r="M155" s="23"/>
      <c r="P155" s="26"/>
      <c r="Q155" s="3" t="s">
        <v>31</v>
      </c>
      <c r="V155" s="16">
        <f t="shared" si="6"/>
        <v>31558558.558558557</v>
      </c>
      <c r="W155" s="16">
        <v>35030000</v>
      </c>
    </row>
    <row r="156" spans="1:23" ht="14.4" hidden="1" x14ac:dyDescent="0.3">
      <c r="A156" t="s">
        <v>267</v>
      </c>
      <c r="B156" t="s">
        <v>341</v>
      </c>
      <c r="C156" t="s">
        <v>262</v>
      </c>
      <c r="D156" t="s">
        <v>310</v>
      </c>
      <c r="E156" t="s">
        <v>65</v>
      </c>
      <c r="F156" t="s">
        <v>154</v>
      </c>
      <c r="G156" t="s">
        <v>265</v>
      </c>
      <c r="H156" t="s">
        <v>27</v>
      </c>
      <c r="I156" t="s">
        <v>266</v>
      </c>
      <c r="J156" t="s">
        <v>29</v>
      </c>
      <c r="K156" s="13" t="s">
        <v>155</v>
      </c>
      <c r="L156" s="3" t="s">
        <v>31</v>
      </c>
      <c r="M156" s="23"/>
      <c r="P156" s="26"/>
      <c r="Q156" s="3" t="s">
        <v>31</v>
      </c>
      <c r="V156" s="16">
        <f t="shared" si="6"/>
        <v>35090090.090090089</v>
      </c>
      <c r="W156" s="16">
        <v>38950000</v>
      </c>
    </row>
    <row r="157" spans="1:23" ht="14.4" hidden="1" x14ac:dyDescent="0.3">
      <c r="K157" s="13"/>
      <c r="M157" s="23"/>
      <c r="P157" s="26"/>
      <c r="Q157" s="3"/>
    </row>
    <row r="158" spans="1:23" ht="14.4" hidden="1" x14ac:dyDescent="0.3">
      <c r="K158" s="13"/>
      <c r="M158" s="23"/>
      <c r="P158" s="26"/>
      <c r="Q158" s="3"/>
    </row>
    <row r="159" spans="1:23" ht="14.4" hidden="1" x14ac:dyDescent="0.3">
      <c r="K159" s="13"/>
      <c r="M159" s="23"/>
      <c r="P159" s="26"/>
      <c r="Q159" s="3"/>
    </row>
    <row r="160" spans="1:23" ht="14.4" hidden="1" x14ac:dyDescent="0.3">
      <c r="K160" s="13"/>
      <c r="M160" s="23"/>
      <c r="P160" s="26"/>
      <c r="Q160" s="3"/>
    </row>
    <row r="161" spans="11:17" ht="14.4" hidden="1" x14ac:dyDescent="0.3">
      <c r="K161" s="13"/>
      <c r="M161" s="23"/>
      <c r="P161" s="26"/>
      <c r="Q161" s="3"/>
    </row>
    <row r="162" spans="11:17" ht="14.4" hidden="1" x14ac:dyDescent="0.3">
      <c r="K162" s="13"/>
      <c r="M162" s="23"/>
      <c r="P162" s="26"/>
      <c r="Q162" s="3"/>
    </row>
    <row r="163" spans="11:17" ht="14.4" hidden="1" x14ac:dyDescent="0.3">
      <c r="K163" s="13"/>
      <c r="M163" s="23"/>
      <c r="P163" s="26"/>
      <c r="Q163" s="3"/>
    </row>
  </sheetData>
  <autoFilter ref="A2:X163" xr:uid="{06CFD989-C731-48F4-B478-F96E4507CE66}">
    <filterColumn colId="0">
      <filters>
        <filter val="Notebook"/>
      </filters>
    </filterColumn>
  </autoFilter>
  <mergeCells count="4">
    <mergeCell ref="A1:D1"/>
    <mergeCell ref="E1:L1"/>
    <mergeCell ref="M1:U1"/>
    <mergeCell ref="V1:W1"/>
  </mergeCells>
  <phoneticPr fontId="3" type="noConversion"/>
  <hyperlinks>
    <hyperlink ref="X3" r:id="rId1" xr:uid="{937063C0-E760-4284-83A1-60CA1B24E28C}"/>
    <hyperlink ref="X4" r:id="rId2" xr:uid="{3CDDFC7E-0538-4C05-813B-70DE1791A337}"/>
    <hyperlink ref="X5" r:id="rId3" xr:uid="{0FDB9042-E679-483D-98EF-4994CBC8828F}"/>
    <hyperlink ref="X9" r:id="rId4" xr:uid="{1B4DE8D5-90E3-40BD-A3F6-9ADA636E989C}"/>
    <hyperlink ref="X8" r:id="rId5" xr:uid="{EF331AC9-1DA2-4500-B730-E98272DC1421}"/>
    <hyperlink ref="X7" r:id="rId6" xr:uid="{EB2C85C8-FA6F-40E9-AABC-851072C4AE37}"/>
    <hyperlink ref="X10" r:id="rId7" xr:uid="{0DEDDAB0-5149-4FA2-8859-E7A8FA1E4643}"/>
    <hyperlink ref="X11" r:id="rId8" xr:uid="{68C928C6-E859-47FF-AB0E-42CF5693B42F}"/>
    <hyperlink ref="X12" r:id="rId9" xr:uid="{043A87F4-2D48-4B54-9E5C-52106C37621C}"/>
    <hyperlink ref="X13" r:id="rId10" xr:uid="{95DB69CB-7826-46D6-BAA8-F5E3650650D0}"/>
    <hyperlink ref="X14" r:id="rId11" xr:uid="{14B2523F-BA30-4FD3-9E06-78BAD505C709}"/>
    <hyperlink ref="X15" r:id="rId12" xr:uid="{2D7E1CB9-C31B-4900-9C31-604C2AA9425F}"/>
    <hyperlink ref="X16" r:id="rId13" xr:uid="{00D194AE-5B4F-4DFC-9E09-5F0538F0FBF4}"/>
    <hyperlink ref="X18" r:id="rId14" xr:uid="{418403AF-5D06-4993-9AE0-84FE1A18C04C}"/>
    <hyperlink ref="X19" r:id="rId15" xr:uid="{C35BC28D-CA51-4FFB-8A5C-DF42A9D1890D}"/>
    <hyperlink ref="X20" r:id="rId16" xr:uid="{FAD460E6-2D6D-402D-A0C0-32FC122C0227}"/>
    <hyperlink ref="X26" r:id="rId17" xr:uid="{EAB26D06-C51B-4F2C-AC92-4773762639F3}"/>
    <hyperlink ref="X27" r:id="rId18" xr:uid="{6D6A3E14-F2EF-4BEE-9A53-4D9299918E66}"/>
    <hyperlink ref="X28" r:id="rId19" xr:uid="{0DF7EF2D-5DD3-4F9F-8ED8-1C062E11328B}"/>
    <hyperlink ref="X29" r:id="rId20" xr:uid="{A8480735-170D-4DEA-8BAF-B9DCF630059F}"/>
    <hyperlink ref="X30" r:id="rId21" xr:uid="{E51A3194-591C-449C-A95A-6B7723A295FF}"/>
    <hyperlink ref="X31" r:id="rId22" xr:uid="{BE2894C2-FBF6-49C0-A0A9-C40AB57623AE}"/>
    <hyperlink ref="X32" r:id="rId23" xr:uid="{44BE0886-C06A-474C-9414-0F3AF5288BAC}"/>
    <hyperlink ref="X33" r:id="rId24" xr:uid="{056D5EEB-27B7-4D55-903A-89AFF0ECCB0C}"/>
    <hyperlink ref="X34" r:id="rId25" xr:uid="{534CBF2A-09CB-4FA5-A3B0-12D004E899DC}"/>
    <hyperlink ref="X39" r:id="rId26" xr:uid="{434915B7-9271-413F-8502-0A8E24B5AF2D}"/>
    <hyperlink ref="X38" r:id="rId27" xr:uid="{B5F11725-6CD3-4CDB-8680-06A6EA6A26F8}"/>
    <hyperlink ref="X37" r:id="rId28" xr:uid="{EE333D63-3D1E-4F68-A230-E228DB05948F}"/>
    <hyperlink ref="X36" r:id="rId29" xr:uid="{240A4D90-F0C0-40D5-9C52-AE30D18E5538}"/>
    <hyperlink ref="X40" r:id="rId30" xr:uid="{16700B92-8A05-45F6-9949-E2416A5C25C4}"/>
    <hyperlink ref="X41" r:id="rId31" xr:uid="{D2404191-A388-4379-AF0E-2E2BEA1474ED}"/>
    <hyperlink ref="X42" r:id="rId32" xr:uid="{19A83F70-E635-4A00-BDC7-0B73D28C1990}"/>
    <hyperlink ref="X44" r:id="rId33" xr:uid="{D415B7E0-6D77-41E0-91E1-BA02A202D5AD}"/>
    <hyperlink ref="X46" r:id="rId34" xr:uid="{FA8FE26E-9B89-4A07-B447-64F0DDE866B4}"/>
    <hyperlink ref="X51" r:id="rId35" xr:uid="{C7CD5A15-4DEB-405A-BF89-58207248F0D5}"/>
    <hyperlink ref="X23" r:id="rId36" xr:uid="{1DB8EEF3-5DBD-4259-88D7-3FC59749685D}"/>
    <hyperlink ref="X53" r:id="rId37" xr:uid="{48924B8E-925B-43D6-BA52-71CC20655456}"/>
    <hyperlink ref="X55" r:id="rId38" xr:uid="{D03F2F85-01C2-43FB-A898-3B6789080C22}"/>
    <hyperlink ref="X56" r:id="rId39" xr:uid="{1EF5F350-4EC4-4BC0-881D-4A6E87F19D49}"/>
    <hyperlink ref="X57" r:id="rId40" xr:uid="{C17EBC52-291A-49E9-9192-4F746C23D0D6}"/>
    <hyperlink ref="X60" r:id="rId41" xr:uid="{06176FA3-C706-48C2-B1C8-AF2373C0A5FA}"/>
    <hyperlink ref="X59" r:id="rId42" xr:uid="{941C578A-E60E-49F9-B8F4-55C33372A1C7}"/>
    <hyperlink ref="X58" r:id="rId43" xr:uid="{015DD6F1-016B-46E4-BF4B-62F2B57AA83E}"/>
  </hyperlinks>
  <pageMargins left="0.7" right="0.7" top="0.75" bottom="0.75" header="0.3" footer="0.3"/>
  <pageSetup fitToWidth="0" fitToHeight="0" orientation="landscape" blackAndWhite="1" horizontalDpi="300" verticalDpi="300" r:id="rId4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F29EA83E18D84B879F5E38275A472F" ma:contentTypeVersion="3" ma:contentTypeDescription="Create a new document." ma:contentTypeScope="" ma:versionID="438cf7ce4891c467977a58918b1b054b">
  <xsd:schema xmlns:xsd="http://www.w3.org/2001/XMLSchema" xmlns:xs="http://www.w3.org/2001/XMLSchema" xmlns:p="http://schemas.microsoft.com/office/2006/metadata/properties" xmlns:ns2="f2b8a6a2-d038-4cbc-8130-31e3c6f3c114" targetNamespace="http://schemas.microsoft.com/office/2006/metadata/properties" ma:root="true" ma:fieldsID="6ae908d153ee06f2d04c28a6426d37da" ns2:_="">
    <xsd:import namespace="f2b8a6a2-d038-4cbc-8130-31e3c6f3c1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a6a2-d038-4cbc-8130-31e3c6f3c1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D02415-E03C-49D4-ACEC-9D5C32D07D4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A37C79F-A9F5-45D7-8C67-5734B650FC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284011-296E-425B-AF19-D3D40BA55F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a6a2-d038-4cbc-8130-31e3c6f3c1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Marketing TDI</dc:creator>
  <cp:keywords/>
  <dc:description/>
  <cp:lastModifiedBy>Alward Putra</cp:lastModifiedBy>
  <cp:revision/>
  <dcterms:created xsi:type="dcterms:W3CDTF">2026-05-18T08:21:22Z</dcterms:created>
  <dcterms:modified xsi:type="dcterms:W3CDTF">2026-06-01T03:54:38Z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0x01010030F29EA83E18D84B879F5E38275A472F</vt:lpwstr>
  </property>
</Properties>
</file>